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2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tih\Masaüstü\grad\"/>
    </mc:Choice>
  </mc:AlternateContent>
  <xr:revisionPtr revIDLastSave="0" documentId="13_ncr:1_{62CD6D26-281D-4100-802B-48B0061419AD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dev" sheetId="1" r:id="rId1"/>
    <sheet name="database" sheetId="3" r:id="rId2"/>
    <sheet name="userScreen" sheetId="2" r:id="rId3"/>
    <sheet name="GENEL" sheetId="4" r:id="rId4"/>
    <sheet name="SUBE" sheetId="5" r:id="rId5"/>
    <sheet name="TEMSILCI" sheetId="6" r:id="rId6"/>
    <sheet name="Start" sheetId="7" r:id="rId7"/>
    <sheet name="Sayfa1" sheetId="8" r:id="rId8"/>
  </sheets>
  <definedNames>
    <definedName name="_xleta.IF" hidden="1" xlm="1">#NAME?</definedName>
    <definedName name="_xleta.SUM" hidden="1" xlm="1">#NAME?</definedName>
    <definedName name="_xleta.VLOOKUP" hidden="1" xlm="1">#NAME?</definedName>
    <definedName name="SaleList">userScreen!$D$17:$H$40</definedName>
    <definedName name="solver_adj" localSheetId="7" hidden="1">Sayfa1!$E$23:$AF$28</definedName>
    <definedName name="solver_eng" localSheetId="7" hidden="1">1</definedName>
    <definedName name="solver_lhs1" localSheetId="7" hidden="1">Sayfa1!$A$23:$A$28</definedName>
    <definedName name="solver_lhs2" localSheetId="7" hidden="1">Sayfa1!$AG$35:$BH$35</definedName>
    <definedName name="solver_lhs3" localSheetId="7" hidden="1">Sayfa1!$C$23:$C$28</definedName>
    <definedName name="solver_lhs4" localSheetId="7" hidden="1">Sayfa1!$E$23:$AF$28</definedName>
    <definedName name="solver_neg" localSheetId="7" hidden="1">1</definedName>
    <definedName name="solver_num" localSheetId="7" hidden="1">4</definedName>
    <definedName name="solver_opt" localSheetId="7" hidden="1">Sayfa1!$A$33</definedName>
    <definedName name="solver_rel1" localSheetId="7" hidden="1">1</definedName>
    <definedName name="solver_rel2" localSheetId="7" hidden="1">2</definedName>
    <definedName name="solver_rel3" localSheetId="7" hidden="1">1</definedName>
    <definedName name="solver_rel4" localSheetId="7" hidden="1">5</definedName>
    <definedName name="solver_rhs1" localSheetId="7" hidden="1">6</definedName>
    <definedName name="solver_rhs2" localSheetId="7" hidden="1">1</definedName>
    <definedName name="solver_rhs3" localSheetId="7" hidden="1">4</definedName>
    <definedName name="solver_rhs4" localSheetId="7" hidden="1">"ikili düzen"</definedName>
    <definedName name="solver_typ" localSheetId="7" hidden="1">1</definedName>
    <definedName name="solver_val" localSheetId="7" hidden="1">0</definedName>
    <definedName name="solver_ver" localSheetId="7" hidden="1">3</definedName>
    <definedName name="UserName">dev!$D$5:$D$20</definedName>
    <definedName name="UserTable">dev!$D$5:$E$20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9" i="6" l="1"/>
  <c r="W20" i="6"/>
  <c r="W21" i="6"/>
  <c r="W22" i="6"/>
  <c r="W17" i="6"/>
  <c r="V22" i="6"/>
  <c r="V21" i="6"/>
  <c r="V20" i="6"/>
  <c r="V19" i="6"/>
  <c r="V18" i="6"/>
  <c r="V17" i="6"/>
  <c r="T22" i="6"/>
  <c r="T21" i="6"/>
  <c r="T20" i="6"/>
  <c r="T19" i="6"/>
  <c r="T18" i="6"/>
  <c r="T17" i="6"/>
  <c r="R22" i="6"/>
  <c r="R21" i="6"/>
  <c r="R20" i="6"/>
  <c r="R19" i="6"/>
  <c r="R18" i="6"/>
  <c r="R17" i="6"/>
  <c r="P22" i="6"/>
  <c r="P21" i="6"/>
  <c r="P20" i="6"/>
  <c r="P19" i="6"/>
  <c r="P18" i="6"/>
  <c r="P17" i="6"/>
  <c r="N22" i="6"/>
  <c r="N21" i="6"/>
  <c r="N20" i="6"/>
  <c r="N19" i="6"/>
  <c r="N18" i="6"/>
  <c r="N17" i="6"/>
  <c r="L22" i="6"/>
  <c r="L21" i="6"/>
  <c r="L20" i="6"/>
  <c r="L19" i="6"/>
  <c r="L18" i="6"/>
  <c r="W18" i="6" s="1"/>
  <c r="L17" i="6"/>
  <c r="J18" i="6"/>
  <c r="J19" i="6"/>
  <c r="J20" i="6"/>
  <c r="J21" i="6"/>
  <c r="J22" i="6"/>
  <c r="J17" i="6"/>
  <c r="R13" i="5"/>
  <c r="T13" i="5"/>
  <c r="V13" i="5"/>
  <c r="X13" i="5"/>
  <c r="P13" i="5"/>
  <c r="N13" i="5"/>
  <c r="L13" i="5"/>
  <c r="M12" i="5"/>
  <c r="F42" i="2"/>
  <c r="O13" i="4"/>
  <c r="O14" i="4"/>
  <c r="O15" i="4"/>
  <c r="O16" i="4"/>
  <c r="O17" i="4"/>
  <c r="O18" i="4"/>
  <c r="O12" i="4"/>
  <c r="I89" i="3"/>
  <c r="J89" i="3"/>
  <c r="K89" i="3"/>
  <c r="L89" i="3"/>
  <c r="M89" i="3"/>
  <c r="N89" i="3"/>
  <c r="O89" i="3"/>
  <c r="P89" i="3"/>
  <c r="Q89" i="3"/>
  <c r="R89" i="3"/>
  <c r="M12" i="4" s="1"/>
  <c r="S89" i="3"/>
  <c r="T89" i="3"/>
  <c r="U89" i="3"/>
  <c r="V89" i="3"/>
  <c r="W89" i="3"/>
  <c r="X89" i="3"/>
  <c r="Y89" i="3"/>
  <c r="Z89" i="3"/>
  <c r="AA89" i="3"/>
  <c r="H89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H79" i="3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C28" i="8" s="1"/>
  <c r="AO28" i="8"/>
  <c r="AN28" i="8"/>
  <c r="AM28" i="8"/>
  <c r="AL28" i="8"/>
  <c r="AK28" i="8"/>
  <c r="AJ28" i="8"/>
  <c r="AI28" i="8"/>
  <c r="AH28" i="8"/>
  <c r="AG28" i="8"/>
  <c r="A28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27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C26" i="8" s="1"/>
  <c r="AG26" i="8"/>
  <c r="A26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25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24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23" i="8"/>
  <c r="C23" i="8" l="1"/>
  <c r="C25" i="8"/>
  <c r="C24" i="8"/>
  <c r="C27" i="8"/>
  <c r="A33" i="8"/>
  <c r="H12" i="4"/>
  <c r="I14" i="2"/>
  <c r="I13" i="2"/>
  <c r="I12" i="2"/>
  <c r="I11" i="2"/>
  <c r="I10" i="2"/>
  <c r="I9" i="2"/>
  <c r="I8" i="2"/>
  <c r="I7" i="2"/>
  <c r="I6" i="2"/>
  <c r="I5" i="2"/>
  <c r="O5" i="2"/>
  <c r="B8" i="1"/>
  <c r="B7" i="1"/>
  <c r="O8" i="2"/>
  <c r="P8" i="2"/>
  <c r="N8" i="2"/>
  <c r="Q8" i="3"/>
  <c r="G3" i="1"/>
  <c r="H3" i="1"/>
  <c r="I3" i="1"/>
  <c r="J3" i="1"/>
  <c r="K3" i="1"/>
  <c r="F3" i="1"/>
  <c r="M8" i="2" l="1"/>
  <c r="O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04538BC-69CF-4C39-8CFD-B39DD1D0E059}" keepAlive="1" name="Query - database" description="Connection to the 'database' query in the workbook." type="5" refreshedVersion="8" background="1" saveData="1">
    <dbPr connection="Provider=Microsoft.Mashup.OleDb.1;Data Source=$Workbook$;Location=database;Extended Properties=&quot;&quot;" command="SELECT * FROM [database]"/>
  </connection>
</connections>
</file>

<file path=xl/sharedStrings.xml><?xml version="1.0" encoding="utf-8"?>
<sst xmlns="http://schemas.openxmlformats.org/spreadsheetml/2006/main" count="748" uniqueCount="201">
  <si>
    <t>UserName</t>
  </si>
  <si>
    <t>Password</t>
  </si>
  <si>
    <t>Dev</t>
  </si>
  <si>
    <t>Admin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</si>
  <si>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</si>
  <si>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</si>
  <si>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</si>
  <si>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</si>
  <si>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</si>
  <si>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</si>
  <si>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</si>
  <si>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</si>
  <si>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</si>
  <si>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</si>
  <si>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User11</t>
  </si>
  <si>
    <t>User12</t>
  </si>
  <si>
    <t>User13</t>
  </si>
  <si>
    <t>User14</t>
  </si>
  <si>
    <t>abc123</t>
  </si>
  <si>
    <t>a2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</si>
  <si>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</si>
  <si>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</si>
  <si>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</si>
  <si>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</si>
  <si>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</si>
  <si>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</si>
  <si>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</si>
  <si>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</si>
  <si>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</si>
  <si>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</si>
  <si>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</si>
  <si>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</si>
  <si>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</si>
  <si>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</si>
  <si>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Ð</t>
  </si>
  <si>
    <t>PassWord</t>
  </si>
  <si>
    <t>PwCorrect</t>
  </si>
  <si>
    <t>UserRow</t>
  </si>
  <si>
    <t>Ï</t>
  </si>
  <si>
    <t>Frames</t>
  </si>
  <si>
    <t>Start</t>
  </si>
  <si>
    <t>Restock</t>
  </si>
  <si>
    <t>End</t>
  </si>
  <si>
    <t>Damaged</t>
  </si>
  <si>
    <t>Total</t>
  </si>
  <si>
    <t>MB</t>
  </si>
  <si>
    <t>Bl</t>
  </si>
  <si>
    <t>S</t>
  </si>
  <si>
    <t>Cr</t>
  </si>
  <si>
    <t>Rt</t>
  </si>
  <si>
    <t>MI</t>
  </si>
  <si>
    <t>CH</t>
  </si>
  <si>
    <t>Mf</t>
  </si>
  <si>
    <t>USB Cards</t>
  </si>
  <si>
    <t>Paper</t>
  </si>
  <si>
    <t xml:space="preserve">Sales List </t>
  </si>
  <si>
    <t>Price</t>
  </si>
  <si>
    <t>Type of payment</t>
  </si>
  <si>
    <t>Total Frames Sold</t>
  </si>
  <si>
    <t>Total Digitas  Sold</t>
  </si>
  <si>
    <t>Total Sales</t>
  </si>
  <si>
    <t>Cash</t>
  </si>
  <si>
    <t>C/C</t>
  </si>
  <si>
    <t>Cashapp</t>
  </si>
  <si>
    <t>SD Card( has to be 1 extra)</t>
  </si>
  <si>
    <t>Card Reader( has to be 1 extra)</t>
  </si>
  <si>
    <t>Training Stickers</t>
  </si>
  <si>
    <t>Business Cards</t>
  </si>
  <si>
    <t>Pen( has to be 1 extra)</t>
  </si>
  <si>
    <t>Cleaning Spray</t>
  </si>
  <si>
    <t>Blanks( has to be 1 extra min)</t>
  </si>
  <si>
    <t>USB Cards(Digitals)( has to be 5 min)</t>
  </si>
  <si>
    <t>Money Marker</t>
  </si>
  <si>
    <t>Envelopes(( has to be 5 extra min)</t>
  </si>
  <si>
    <t>Rubber Bands</t>
  </si>
  <si>
    <t>Square Reader Iphone/Android/Square</t>
  </si>
  <si>
    <t>Scissors</t>
  </si>
  <si>
    <t>Pain Killers</t>
  </si>
  <si>
    <t>Bags</t>
  </si>
  <si>
    <t>Paper Towels</t>
  </si>
  <si>
    <t>WareHouse</t>
  </si>
  <si>
    <t>Bölgeler</t>
  </si>
  <si>
    <t>Şubeler</t>
  </si>
  <si>
    <t>Res1</t>
  </si>
  <si>
    <t>Res2</t>
  </si>
  <si>
    <t>Res3</t>
  </si>
  <si>
    <t>Res4</t>
  </si>
  <si>
    <t>Res5</t>
  </si>
  <si>
    <t>Res6</t>
  </si>
  <si>
    <t>Res7</t>
  </si>
  <si>
    <t>Res8</t>
  </si>
  <si>
    <t>Res9</t>
  </si>
  <si>
    <t>Res10</t>
  </si>
  <si>
    <t>Res11</t>
  </si>
  <si>
    <t>Res12</t>
  </si>
  <si>
    <t>Res13</t>
  </si>
  <si>
    <t>Res14</t>
  </si>
  <si>
    <t>Res15</t>
  </si>
  <si>
    <t>Res16</t>
  </si>
  <si>
    <t>Res17</t>
  </si>
  <si>
    <t>Res18</t>
  </si>
  <si>
    <t>Res19</t>
  </si>
  <si>
    <t>Res20</t>
  </si>
  <si>
    <t>Çalışan</t>
  </si>
  <si>
    <t>Çalışan1</t>
  </si>
  <si>
    <t>Çalışan2</t>
  </si>
  <si>
    <t>Çalışan3</t>
  </si>
  <si>
    <t>Çalışan4</t>
  </si>
  <si>
    <t>Çalışan5</t>
  </si>
  <si>
    <t>Çalışan6</t>
  </si>
  <si>
    <t>Çalışan7</t>
  </si>
  <si>
    <t>Çalışan8</t>
  </si>
  <si>
    <t>Çalışan9</t>
  </si>
  <si>
    <t>Çalışan10</t>
  </si>
  <si>
    <t>Çalışan11</t>
  </si>
  <si>
    <t>Çalışan12</t>
  </si>
  <si>
    <t>Çalışan13</t>
  </si>
  <si>
    <t>Çalışan14</t>
  </si>
  <si>
    <t>Çalışan15</t>
  </si>
  <si>
    <t>Çalışan16</t>
  </si>
  <si>
    <t>Çalışan17</t>
  </si>
  <si>
    <t>Çalışan18</t>
  </si>
  <si>
    <t>Çalışan19</t>
  </si>
  <si>
    <t>Çalışan20</t>
  </si>
  <si>
    <t>Çalışan21</t>
  </si>
  <si>
    <t>Çalışan22</t>
  </si>
  <si>
    <t>Çalışan23</t>
  </si>
  <si>
    <t>Çalışan24</t>
  </si>
  <si>
    <t>Çalışan25</t>
  </si>
  <si>
    <t>Çalışan26</t>
  </si>
  <si>
    <t>1. Bölge</t>
  </si>
  <si>
    <t>2. Bölge</t>
  </si>
  <si>
    <t>Gün</t>
  </si>
  <si>
    <t>TEXT BOX</t>
  </si>
  <si>
    <t>Hedef</t>
  </si>
  <si>
    <t>Ulaşılan</t>
  </si>
  <si>
    <t>Pazartesi</t>
  </si>
  <si>
    <t>Salı</t>
  </si>
  <si>
    <t>Çarşamba</t>
  </si>
  <si>
    <t>Perşembe</t>
  </si>
  <si>
    <t>Cuma</t>
  </si>
  <si>
    <t>Cumartesi</t>
  </si>
  <si>
    <t>Pazar</t>
  </si>
  <si>
    <t>Adet</t>
  </si>
  <si>
    <t>Inventory</t>
  </si>
  <si>
    <t>Satış</t>
  </si>
  <si>
    <t>INVENTORY</t>
  </si>
  <si>
    <t>INSTOCK</t>
  </si>
  <si>
    <t>Restoran Seçiniz</t>
  </si>
  <si>
    <t>SaleCount</t>
  </si>
  <si>
    <t>dev</t>
  </si>
  <si>
    <t>database</t>
  </si>
  <si>
    <t>userScreen</t>
  </si>
  <si>
    <t>x</t>
  </si>
  <si>
    <t>TEMSILCI</t>
  </si>
  <si>
    <t>SUBE</t>
  </si>
  <si>
    <t>GENEL</t>
  </si>
  <si>
    <t>Grup 1</t>
  </si>
  <si>
    <t>Grup 2</t>
  </si>
  <si>
    <t>Grup 3</t>
  </si>
  <si>
    <t xml:space="preserve"> Grup 4 </t>
  </si>
  <si>
    <t>Grup 5</t>
  </si>
  <si>
    <t>Şube NO</t>
  </si>
  <si>
    <t>Şube Başarı</t>
  </si>
  <si>
    <t>Çalışan No</t>
  </si>
  <si>
    <t>Çalışan başarı</t>
  </si>
  <si>
    <t>Toplam Gün</t>
  </si>
  <si>
    <t>Toplam Yorgunluk</t>
  </si>
  <si>
    <t>12-pzt</t>
  </si>
  <si>
    <t>4-pzt</t>
  </si>
  <si>
    <t>6-pzt</t>
  </si>
  <si>
    <t>16-pzt</t>
  </si>
  <si>
    <t>12-Salı</t>
  </si>
  <si>
    <t>4-Salı</t>
  </si>
  <si>
    <t>6-Salı</t>
  </si>
  <si>
    <t>16-Salı</t>
  </si>
  <si>
    <t>12-çarş</t>
  </si>
  <si>
    <t>4-çarş</t>
  </si>
  <si>
    <t>6-çarş</t>
  </si>
  <si>
    <t>16-çarş</t>
  </si>
  <si>
    <t>12-prş</t>
  </si>
  <si>
    <t>4-prş</t>
  </si>
  <si>
    <t>6-prş</t>
  </si>
  <si>
    <t>16-prş</t>
  </si>
  <si>
    <t>12-Cuma</t>
  </si>
  <si>
    <t>4-Cuma</t>
  </si>
  <si>
    <t>6-Cuma</t>
  </si>
  <si>
    <t>16-Cuma</t>
  </si>
  <si>
    <t>12-cmt</t>
  </si>
  <si>
    <t>4-cmt</t>
  </si>
  <si>
    <t>6-cmt</t>
  </si>
  <si>
    <t>16-cmt</t>
  </si>
  <si>
    <t>12-pzr</t>
  </si>
  <si>
    <t>4-pzr</t>
  </si>
  <si>
    <t>6-pzr</t>
  </si>
  <si>
    <t>16-pzr</t>
  </si>
  <si>
    <t>Max</t>
  </si>
  <si>
    <t>Çalışan Id</t>
  </si>
  <si>
    <t>Ratio</t>
  </si>
  <si>
    <t>İzin</t>
  </si>
  <si>
    <t>İşçi\Gün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</si>
</sst>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1" xfId="0" applyFill="1" applyBorder="1"/>
    <xf numFmtId="0" fontId="2" fillId="3" borderId="1" xfId="0" applyFon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9" borderId="0" xfId="0" applyFill="1"/>
    <xf numFmtId="0" fontId="3" fillId="8" borderId="1" xfId="0" applyFont="1" applyFill="1" applyBorder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6" borderId="0" xfId="0" applyFill="1"/>
    <xf numFmtId="0" fontId="4" fillId="8" borderId="1" xfId="0" applyFont="1" applyFill="1" applyBorder="1"/>
    <xf numFmtId="0" fontId="0" fillId="8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4" xfId="0" applyFill="1" applyBorder="1"/>
    <xf numFmtId="0" fontId="0" fillId="4" borderId="6" xfId="0" applyFill="1" applyBorder="1"/>
    <xf numFmtId="0" fontId="0" fillId="4" borderId="6" xfId="0" applyFill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0" fillId="4" borderId="7" xfId="0" applyFill="1" applyBorder="1"/>
    <xf numFmtId="0" fontId="0" fillId="0" borderId="7" xfId="0" applyBorder="1"/>
    <xf numFmtId="9" fontId="0" fillId="8" borderId="1" xfId="1" applyFont="1" applyFill="1" applyBorder="1"/>
    <xf numFmtId="0" fontId="0" fillId="8" borderId="6" xfId="0" applyFill="1" applyBorder="1"/>
    <xf numFmtId="0" fontId="0" fillId="7" borderId="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0" fillId="7" borderId="1" xfId="0" applyFill="1" applyBorder="1"/>
    <xf numFmtId="0" fontId="0" fillId="8" borderId="6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" fontId="0" fillId="8" borderId="0" xfId="0" applyNumberFormat="1" applyFill="1"/>
    <xf numFmtId="9" fontId="0" fillId="8" borderId="0" xfId="1" applyFont="1" applyFill="1"/>
    <xf numFmtId="0" fontId="6" fillId="10" borderId="6" xfId="0" applyFont="1" applyFill="1" applyBorder="1"/>
  </cellXfs>
  <cellStyles count="2">
    <cellStyle name="Normal" xfId="0" builtinId="0"/>
    <cellStyle name="Percent" xfId="1" builtinId="5"/>
  </cellStyles>
  <dxfs count="4"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339933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Günlük</a:t>
            </a:r>
            <a:r>
              <a:rPr lang="tr-TR" baseline="0"/>
              <a:t> Hedef Geçme Oranı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5079920512782205"/>
          <c:y val="0.16245370370370371"/>
          <c:w val="0.7965111287085318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GENEL!$L$12:$L$18</c:f>
              <c:strCache>
                <c:ptCount val="7"/>
                <c:pt idx="0">
                  <c:v>Pazartesi</c:v>
                </c:pt>
                <c:pt idx="1">
                  <c:v>Salı</c:v>
                </c:pt>
                <c:pt idx="2">
                  <c:v>Çarşamba</c:v>
                </c:pt>
                <c:pt idx="3">
                  <c:v>Perşembe</c:v>
                </c:pt>
                <c:pt idx="4">
                  <c:v>Cuma</c:v>
                </c:pt>
                <c:pt idx="5">
                  <c:v>Cumartesi</c:v>
                </c:pt>
                <c:pt idx="6">
                  <c:v>Pazar</c:v>
                </c:pt>
              </c:strCache>
            </c:strRef>
          </c:cat>
          <c:val>
            <c:numRef>
              <c:f>GENEL!$O$12:$O$18</c:f>
              <c:numCache>
                <c:formatCode>0%</c:formatCode>
                <c:ptCount val="7"/>
                <c:pt idx="0">
                  <c:v>1.25125</c:v>
                </c:pt>
                <c:pt idx="1">
                  <c:v>0.8571428571428571</c:v>
                </c:pt>
                <c:pt idx="2">
                  <c:v>1.0555555555555556</c:v>
                </c:pt>
                <c:pt idx="3">
                  <c:v>1.0666666666666667</c:v>
                </c:pt>
                <c:pt idx="4">
                  <c:v>1.25</c:v>
                </c:pt>
                <c:pt idx="5">
                  <c:v>1.4</c:v>
                </c:pt>
                <c:pt idx="6">
                  <c:v>0.72727272727272729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8-4BC1-A2E8-7C48A596B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89407472"/>
        <c:axId val="289401712"/>
      </c:barChart>
      <c:catAx>
        <c:axId val="289407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89401712"/>
        <c:crosses val="autoZero"/>
        <c:auto val="1"/>
        <c:lblAlgn val="ctr"/>
        <c:lblOffset val="100"/>
        <c:noMultiLvlLbl val="0"/>
      </c:catAx>
      <c:valAx>
        <c:axId val="2894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8940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1. Şubenin Haftalık Ulaşılan/Hedef Raporu 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Pazartesi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SUBE!$L$13</c:f>
              <c:numCache>
                <c:formatCode>0%</c:formatCode>
                <c:ptCount val="1"/>
                <c:pt idx="0">
                  <c:v>1.7285714285714286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C-4A9C-B3A4-D07516E595AC}"/>
            </c:ext>
          </c:extLst>
        </c:ser>
        <c:ser>
          <c:idx val="2"/>
          <c:order val="1"/>
          <c:tx>
            <c:v>Salı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SUBE!$N$13</c:f>
              <c:numCache>
                <c:formatCode>0%</c:formatCode>
                <c:ptCount val="1"/>
                <c:pt idx="0">
                  <c:v>1.4285714285714286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4C-4A9C-B3A4-D07516E595AC}"/>
            </c:ext>
          </c:extLst>
        </c:ser>
        <c:ser>
          <c:idx val="4"/>
          <c:order val="2"/>
          <c:tx>
            <c:v>Çarşamba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SUBE!$P$13</c:f>
              <c:numCache>
                <c:formatCode>0%</c:formatCode>
                <c:ptCount val="1"/>
                <c:pt idx="0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4C-4A9C-B3A4-D07516E595AC}"/>
            </c:ext>
          </c:extLst>
        </c:ser>
        <c:ser>
          <c:idx val="6"/>
          <c:order val="3"/>
          <c:tx>
            <c:v>Perşembe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SUBE!$R$13</c:f>
              <c:numCache>
                <c:formatCode>0%</c:formatCode>
                <c:ptCount val="1"/>
                <c:pt idx="0">
                  <c:v>0.8571428571428571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4C-4A9C-B3A4-D07516E595AC}"/>
            </c:ext>
          </c:extLst>
        </c:ser>
        <c:ser>
          <c:idx val="8"/>
          <c:order val="4"/>
          <c:tx>
            <c:v>Cuma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SUBE!$T$13</c:f>
              <c:numCache>
                <c:formatCode>0%</c:formatCode>
                <c:ptCount val="1"/>
                <c:pt idx="0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4C-4A9C-B3A4-D07516E595AC}"/>
            </c:ext>
          </c:extLst>
        </c:ser>
        <c:ser>
          <c:idx val="10"/>
          <c:order val="5"/>
          <c:tx>
            <c:v>Cumartesi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SUBE!$V$13</c:f>
              <c:numCache>
                <c:formatCode>0%</c:formatCode>
                <c:ptCount val="1"/>
                <c:pt idx="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4C-4A9C-B3A4-D07516E595AC}"/>
            </c:ext>
          </c:extLst>
        </c:ser>
        <c:ser>
          <c:idx val="12"/>
          <c:order val="6"/>
          <c:tx>
            <c:v>Pazar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SUBE!$L$10:$Y$10</c:f>
              <c:strCache>
                <c:ptCount val="13"/>
                <c:pt idx="0">
                  <c:v>Pazartesi</c:v>
                </c:pt>
                <c:pt idx="2">
                  <c:v>Salı</c:v>
                </c:pt>
                <c:pt idx="4">
                  <c:v>Çarşamba</c:v>
                </c:pt>
                <c:pt idx="6">
                  <c:v>Perşembe</c:v>
                </c:pt>
                <c:pt idx="8">
                  <c:v>Cuma</c:v>
                </c:pt>
                <c:pt idx="10">
                  <c:v>Cumartesi</c:v>
                </c:pt>
                <c:pt idx="12">
                  <c:v>Pazar</c:v>
                </c:pt>
              </c:strCache>
            </c:strRef>
          </c:cat>
          <c:val>
            <c:numRef>
              <c:f>SUBE!$X$13</c:f>
              <c:numCache>
                <c:formatCode>0%</c:formatCode>
                <c:ptCount val="1"/>
                <c:pt idx="0">
                  <c:v>1.1428571428571428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4C-4A9C-B3A4-D07516E59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117098783"/>
        <c:axId val="1117099263"/>
      </c:barChart>
      <c:catAx>
        <c:axId val="111709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7099263"/>
        <c:crosses val="autoZero"/>
        <c:auto val="1"/>
        <c:lblAlgn val="ctr"/>
        <c:lblOffset val="100"/>
        <c:noMultiLvlLbl val="0"/>
      </c:catAx>
      <c:valAx>
        <c:axId val="111709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7098783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İşcilerin Haftalık Performansı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TEMSILCI!$I$11:$I$16</c:f>
              <c:numCache>
                <c:formatCode>General</c:formatCode>
                <c:ptCount val="6"/>
                <c:pt idx="0">
                  <c:v>23</c:v>
                </c:pt>
                <c:pt idx="1">
                  <c:v>14</c:v>
                </c:pt>
                <c:pt idx="2">
                  <c:v>22</c:v>
                </c:pt>
                <c:pt idx="3">
                  <c:v>8</c:v>
                </c:pt>
                <c:pt idx="4">
                  <c:v>13</c:v>
                </c:pt>
                <c:pt idx="5">
                  <c:v>16</c:v>
                </c:pt>
              </c:numCache>
            </c:numRef>
          </c:cat>
          <c:val>
            <c:numRef>
              <c:f>TEMSILCI!$W$17:$W$22</c:f>
              <c:numCache>
                <c:formatCode>0%</c:formatCode>
                <c:ptCount val="6"/>
                <c:pt idx="0">
                  <c:v>1.1586047286047285</c:v>
                </c:pt>
                <c:pt idx="1">
                  <c:v>0.61108276643990933</c:v>
                </c:pt>
                <c:pt idx="2">
                  <c:v>1.1630936920222636</c:v>
                </c:pt>
                <c:pt idx="3">
                  <c:v>1.2006961451247165</c:v>
                </c:pt>
                <c:pt idx="4">
                  <c:v>2.5377380952380952</c:v>
                </c:pt>
                <c:pt idx="5">
                  <c:v>0.89859366823652542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8-47F3-A04B-CA420B0EA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6403823"/>
        <c:axId val="1126400463"/>
        <c:axId val="0"/>
      </c:bar3DChart>
      <c:catAx>
        <c:axId val="11264038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26400463"/>
        <c:crosses val="autoZero"/>
        <c:auto val="1"/>
        <c:lblAlgn val="ctr"/>
        <c:lblOffset val="100"/>
        <c:noMultiLvlLbl val="0"/>
      </c:catAx>
      <c:valAx>
        <c:axId val="1126400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26403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613102</xdr:colOff>
      <xdr:row>30</xdr:row>
      <xdr:rowOff>0</xdr:rowOff>
    </xdr:from>
    <xdr:ext cx="3952329" cy="142723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795171" y="5583621"/>
          <a:ext cx="3952329" cy="1427238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0</xdr:col>
      <xdr:colOff>493486</xdr:colOff>
      <xdr:row>16</xdr:row>
      <xdr:rowOff>43543</xdr:rowOff>
    </xdr:from>
    <xdr:to>
      <xdr:col>2</xdr:col>
      <xdr:colOff>391886</xdr:colOff>
      <xdr:row>19</xdr:row>
      <xdr:rowOff>87086</xdr:rowOff>
    </xdr:to>
    <xdr:sp macro="[0]!userScreenAddSa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93486" y="2946400"/>
          <a:ext cx="1117600" cy="58782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Satır Ekle</a:t>
          </a:r>
          <a:endParaRPr lang="tr-TR" sz="1100"/>
        </a:p>
      </xdr:txBody>
    </xdr:sp>
    <xdr:clientData/>
  </xdr:twoCellAnchor>
  <xdr:twoCellAnchor>
    <xdr:from>
      <xdr:col>0</xdr:col>
      <xdr:colOff>481724</xdr:colOff>
      <xdr:row>4</xdr:row>
      <xdr:rowOff>87586</xdr:rowOff>
    </xdr:from>
    <xdr:to>
      <xdr:col>2</xdr:col>
      <xdr:colOff>157655</xdr:colOff>
      <xdr:row>6</xdr:row>
      <xdr:rowOff>61311</xdr:rowOff>
    </xdr:to>
    <xdr:sp macro="[0]!userScreenAll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81724" y="823310"/>
          <a:ext cx="902138" cy="341587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Verileri Çek</a:t>
          </a:r>
        </a:p>
        <a:p>
          <a:pPr algn="l"/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8</xdr:col>
      <xdr:colOff>527539</xdr:colOff>
      <xdr:row>6</xdr:row>
      <xdr:rowOff>8373</xdr:rowOff>
    </xdr:to>
    <xdr:sp macro="" textlink="">
      <xdr:nvSpPr>
        <xdr:cNvPr id="7" name="Rectangle: Beveled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445099" y="184220"/>
          <a:ext cx="2972638" cy="9294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GENEL</a:t>
          </a:r>
          <a:r>
            <a:rPr lang="en-US" sz="1100" baseline="0"/>
            <a:t> SATIŞ RAPORU</a:t>
          </a:r>
          <a:endParaRPr lang="tr-TR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3</xdr:col>
      <xdr:colOff>92110</xdr:colOff>
      <xdr:row>12</xdr:row>
      <xdr:rowOff>8374</xdr:rowOff>
    </xdr:to>
    <xdr:sp macro="[0]!gene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1473758"/>
          <a:ext cx="1925934" cy="74525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GENEL RAPOR</a:t>
          </a:r>
        </a:p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167474</xdr:rowOff>
    </xdr:from>
    <xdr:to>
      <xdr:col>3</xdr:col>
      <xdr:colOff>92110</xdr:colOff>
      <xdr:row>18</xdr:row>
      <xdr:rowOff>8375</xdr:rowOff>
    </xdr:to>
    <xdr:sp macro="[0]!sube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0" y="2562331"/>
          <a:ext cx="1925934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ŞUBE</a:t>
          </a:r>
          <a:r>
            <a:rPr lang="en-US" sz="1100" baseline="0"/>
            <a:t> RAPORU</a:t>
          </a:r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167473</xdr:rowOff>
    </xdr:from>
    <xdr:to>
      <xdr:col>3</xdr:col>
      <xdr:colOff>92110</xdr:colOff>
      <xdr:row>23</xdr:row>
      <xdr:rowOff>175846</xdr:rowOff>
    </xdr:to>
    <xdr:sp macro="[0]!temsilci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0" y="3667649"/>
          <a:ext cx="1925934" cy="7452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TEMSİLCİ RAPORU</a:t>
          </a:r>
          <a:endParaRPr lang="tr-TR" sz="1100"/>
        </a:p>
      </xdr:txBody>
    </xdr:sp>
    <xdr:clientData/>
  </xdr:twoCellAnchor>
  <xdr:twoCellAnchor>
    <xdr:from>
      <xdr:col>10</xdr:col>
      <xdr:colOff>266700</xdr:colOff>
      <xdr:row>4</xdr:row>
      <xdr:rowOff>128587</xdr:rowOff>
    </xdr:from>
    <xdr:to>
      <xdr:col>18</xdr:col>
      <xdr:colOff>209550</xdr:colOff>
      <xdr:row>18</xdr:row>
      <xdr:rowOff>100012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D534AEE7-7F4B-AB83-4280-3D1A5C60AA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8</xdr:col>
      <xdr:colOff>527539</xdr:colOff>
      <xdr:row>6</xdr:row>
      <xdr:rowOff>8373</xdr:rowOff>
    </xdr:to>
    <xdr:sp macro="" textlink="">
      <xdr:nvSpPr>
        <xdr:cNvPr id="5" name="Rectangle: Beveled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445099" y="184220"/>
          <a:ext cx="2972638" cy="9294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Şube Raporu</a:t>
          </a:r>
          <a:endParaRPr lang="tr-TR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3</xdr:col>
      <xdr:colOff>92110</xdr:colOff>
      <xdr:row>12</xdr:row>
      <xdr:rowOff>8374</xdr:rowOff>
    </xdr:to>
    <xdr:sp macro="[0]!genel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0" y="1473758"/>
          <a:ext cx="1925934" cy="74525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GENEL RAPOR</a:t>
          </a:r>
        </a:p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167474</xdr:rowOff>
    </xdr:from>
    <xdr:to>
      <xdr:col>3</xdr:col>
      <xdr:colOff>92110</xdr:colOff>
      <xdr:row>18</xdr:row>
      <xdr:rowOff>8375</xdr:rowOff>
    </xdr:to>
    <xdr:sp macro="[0]!sub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0" y="2562331"/>
          <a:ext cx="1925934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ŞUBE</a:t>
          </a:r>
          <a:r>
            <a:rPr lang="en-US" sz="1100" baseline="0"/>
            <a:t> RAPORU</a:t>
          </a:r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167473</xdr:rowOff>
    </xdr:from>
    <xdr:to>
      <xdr:col>3</xdr:col>
      <xdr:colOff>92110</xdr:colOff>
      <xdr:row>23</xdr:row>
      <xdr:rowOff>175846</xdr:rowOff>
    </xdr:to>
    <xdr:sp macro="[0]!temsilci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0" y="3667649"/>
          <a:ext cx="1925934" cy="7452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TEMSİLCİ RAPORU</a:t>
          </a:r>
          <a:endParaRPr lang="tr-TR" sz="1100"/>
        </a:p>
      </xdr:txBody>
    </xdr:sp>
    <xdr:clientData/>
  </xdr:twoCellAnchor>
  <xdr:twoCellAnchor>
    <xdr:from>
      <xdr:col>10</xdr:col>
      <xdr:colOff>142875</xdr:colOff>
      <xdr:row>6</xdr:row>
      <xdr:rowOff>33335</xdr:rowOff>
    </xdr:from>
    <xdr:to>
      <xdr:col>25</xdr:col>
      <xdr:colOff>217714</xdr:colOff>
      <xdr:row>21</xdr:row>
      <xdr:rowOff>61230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311DCC-4C5A-3F6A-5DB7-6EC0A6DE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8</xdr:col>
      <xdr:colOff>527539</xdr:colOff>
      <xdr:row>6</xdr:row>
      <xdr:rowOff>8373</xdr:rowOff>
    </xdr:to>
    <xdr:sp macro="" textlink="">
      <xdr:nvSpPr>
        <xdr:cNvPr id="5" name="Rectangle: Beveled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445099" y="184220"/>
          <a:ext cx="2972638" cy="9294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Temsilci Raporu</a:t>
          </a:r>
          <a:endParaRPr lang="tr-TR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3</xdr:col>
      <xdr:colOff>92110</xdr:colOff>
      <xdr:row>12</xdr:row>
      <xdr:rowOff>8374</xdr:rowOff>
    </xdr:to>
    <xdr:sp macro="[0]!gene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1473758"/>
          <a:ext cx="1925934" cy="74525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GENEL RAPOR</a:t>
          </a:r>
        </a:p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167474</xdr:rowOff>
    </xdr:from>
    <xdr:to>
      <xdr:col>3</xdr:col>
      <xdr:colOff>92110</xdr:colOff>
      <xdr:row>18</xdr:row>
      <xdr:rowOff>8375</xdr:rowOff>
    </xdr:to>
    <xdr:sp macro="[0]!sub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2562331"/>
          <a:ext cx="1925934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ŞUBE</a:t>
          </a:r>
          <a:r>
            <a:rPr lang="en-US" sz="1100" baseline="0"/>
            <a:t> RAPORU</a:t>
          </a:r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167473</xdr:rowOff>
    </xdr:from>
    <xdr:to>
      <xdr:col>3</xdr:col>
      <xdr:colOff>92110</xdr:colOff>
      <xdr:row>23</xdr:row>
      <xdr:rowOff>175846</xdr:rowOff>
    </xdr:to>
    <xdr:sp macro="[0]!temsilci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3667649"/>
          <a:ext cx="1925934" cy="7452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TEMSİLCİ RAPORU</a:t>
          </a:r>
          <a:endParaRPr lang="tr-TR" sz="1100"/>
        </a:p>
      </xdr:txBody>
    </xdr:sp>
    <xdr:clientData/>
  </xdr:twoCellAnchor>
  <xdr:twoCellAnchor>
    <xdr:from>
      <xdr:col>7</xdr:col>
      <xdr:colOff>410308</xdr:colOff>
      <xdr:row>6</xdr:row>
      <xdr:rowOff>125605</xdr:rowOff>
    </xdr:from>
    <xdr:to>
      <xdr:col>23</xdr:col>
      <xdr:colOff>393560</xdr:colOff>
      <xdr:row>22</xdr:row>
      <xdr:rowOff>125605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8CDC90-2D0D-6368-D676-914F09A02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K20"/>
  <sheetViews>
    <sheetView workbookViewId="0">
      <selection activeCell="C20" sqref="C20"/>
    </sheetView>
  </sheetViews>
  <sheetFormatPr defaultColWidth="8.88671875" defaultRowHeight="14.4" x14ac:dyDescent="0.3"/>
  <cols>
    <col min="1" max="1" width="9.6640625" style="1" bestFit="1" customWidth="1"/>
    <col min="2" max="2" width="15.88671875" style="1" customWidth="1"/>
    <col min="3" max="3" width="8.88671875" style="1"/>
    <col min="4" max="4" width="9.6640625" style="1" bestFit="1" customWidth="1"/>
    <col min="5" max="7" width="8.88671875" style="1"/>
    <col min="8" max="8" width="9.88671875" style="1" bestFit="1" customWidth="1"/>
    <col min="9" max="16384" width="8.88671875" style="1"/>
  </cols>
  <sheetData>
    <row r="3" spans="1:11" x14ac:dyDescent="0.3">
      <c r="F3" s="1">
        <f>COLUMN()</f>
        <v>6</v>
      </c>
      <c r="G3" s="1">
        <f>COLUMN()</f>
        <v>7</v>
      </c>
      <c r="H3" s="1">
        <f>COLUMN()</f>
        <v>8</v>
      </c>
      <c r="I3" s="1">
        <f>COLUMN()</f>
        <v>9</v>
      </c>
      <c r="J3" s="1">
        <f>COLUMN()</f>
        <v>10</v>
      </c>
      <c r="K3" s="1">
        <f>COLUMN()</f>
        <v>11</v>
      </c>
    </row>
    <row r="4" spans="1:11" ht="42.6" customHeight="1" x14ac:dyDescent="0.3">
      <c r="D4" s="2" t="s">
        <v>0</v>
      </c>
      <c r="E4" s="2" t="s">
        <v>1</v>
      </c>
      <c r="F4" s="2" t="s">
        <v>150</v>
      </c>
      <c r="G4" s="2" t="s">
        <v>151</v>
      </c>
      <c r="H4" s="2" t="s">
        <v>152</v>
      </c>
      <c r="I4" s="2" t="s">
        <v>156</v>
      </c>
      <c r="J4" s="2" t="s">
        <v>155</v>
      </c>
      <c r="K4" s="2" t="s">
        <v>154</v>
      </c>
    </row>
    <row r="5" spans="1:11" x14ac:dyDescent="0.3">
      <c r="A5" s="4" t="s">
        <v>0</v>
      </c>
      <c r="B5" s="4" t="s">
        <v>2</v>
      </c>
      <c r="D5" s="2" t="s">
        <v>2</v>
      </c>
      <c r="E5" s="2" t="s">
        <v>18</v>
      </c>
      <c r="F5" s="3" t="s">
        <v>34</v>
      </c>
      <c r="G5" s="3" t="s">
        <v>34</v>
      </c>
      <c r="H5" s="3" t="s">
        <v>34</v>
      </c>
      <c r="I5" s="3" t="s">
        <v>34</v>
      </c>
      <c r="J5" s="3" t="s">
        <v>34</v>
      </c>
      <c r="K5" s="3" t="s">
        <v>34</v>
      </c>
    </row>
    <row r="6" spans="1:11" x14ac:dyDescent="0.3">
      <c r="A6" s="4" t="s">
        <v>35</v>
      </c>
      <c r="B6" s="4" t="s">
        <v>18</v>
      </c>
      <c r="D6" s="2" t="s">
        <v>3</v>
      </c>
      <c r="E6" s="2" t="s">
        <v>19</v>
      </c>
      <c r="F6" s="3" t="s">
        <v>38</v>
      </c>
      <c r="G6" s="3" t="s">
        <v>34</v>
      </c>
      <c r="H6" s="3" t="s">
        <v>34</v>
      </c>
      <c r="I6" s="3" t="s">
        <v>34</v>
      </c>
      <c r="J6" s="3" t="s">
        <v>34</v>
      </c>
      <c r="K6" s="3" t="s">
        <v>34</v>
      </c>
    </row>
    <row r="7" spans="1:11" x14ac:dyDescent="0.3">
      <c r="A7" s="4" t="s">
        <v>36</v>
      </c>
      <c r="B7" s="4" t="b">
        <f>IF(INDEX(UserTable,MATCH(B5,UserName,0),2)=B6,TRUE,FALSE)</f>
        <v>1</v>
      </c>
      <c r="D7" s="2" t="s">
        <v>4</v>
      </c>
      <c r="E7" s="2" t="s">
        <v>20</v>
      </c>
      <c r="F7" s="3" t="s">
        <v>153</v>
      </c>
      <c r="G7" s="3" t="s">
        <v>153</v>
      </c>
      <c r="H7" s="3" t="s">
        <v>34</v>
      </c>
      <c r="I7" s="3" t="s">
        <v>153</v>
      </c>
      <c r="J7" s="3" t="s">
        <v>153</v>
      </c>
      <c r="K7" s="3" t="s">
        <v>153</v>
      </c>
    </row>
    <row r="8" spans="1:11" x14ac:dyDescent="0.3">
      <c r="A8" s="4" t="s">
        <v>37</v>
      </c>
      <c r="B8" s="4">
        <f>IFERROR(MATCH(B5,UserName,0)+4,"")</f>
        <v>5</v>
      </c>
      <c r="D8" s="2" t="s">
        <v>5</v>
      </c>
      <c r="E8" s="2" t="s">
        <v>21</v>
      </c>
      <c r="F8" s="3" t="s">
        <v>153</v>
      </c>
      <c r="G8" s="3" t="s">
        <v>153</v>
      </c>
      <c r="H8" s="3" t="s">
        <v>34</v>
      </c>
      <c r="I8" s="3" t="s">
        <v>153</v>
      </c>
      <c r="J8" s="3" t="s">
        <v>153</v>
      </c>
      <c r="K8" s="3" t="s">
        <v>153</v>
      </c>
    </row>
    <row r="9" spans="1:11" x14ac:dyDescent="0.3">
      <c r="D9" s="2" t="s">
        <v>6</v>
      </c>
      <c r="E9" s="2" t="s">
        <v>22</v>
      </c>
      <c r="F9" s="3" t="s">
        <v>153</v>
      </c>
      <c r="G9" s="3" t="s">
        <v>153</v>
      </c>
      <c r="H9" s="3" t="s">
        <v>34</v>
      </c>
      <c r="I9" s="3" t="s">
        <v>153</v>
      </c>
      <c r="J9" s="3" t="s">
        <v>153</v>
      </c>
      <c r="K9" s="3" t="s">
        <v>153</v>
      </c>
    </row>
    <row r="10" spans="1:11" x14ac:dyDescent="0.3">
      <c r="D10" s="2" t="s">
        <v>7</v>
      </c>
      <c r="E10" s="2" t="s">
        <v>23</v>
      </c>
      <c r="F10" s="3" t="s">
        <v>153</v>
      </c>
      <c r="G10" s="3" t="s">
        <v>153</v>
      </c>
      <c r="H10" s="3" t="s">
        <v>34</v>
      </c>
      <c r="I10" s="3" t="s">
        <v>153</v>
      </c>
      <c r="J10" s="3" t="s">
        <v>153</v>
      </c>
      <c r="K10" s="3" t="s">
        <v>153</v>
      </c>
    </row>
    <row r="11" spans="1:11" x14ac:dyDescent="0.3">
      <c r="D11" s="2" t="s">
        <v>8</v>
      </c>
      <c r="E11" s="2" t="s">
        <v>24</v>
      </c>
      <c r="F11" s="3" t="s">
        <v>153</v>
      </c>
      <c r="G11" s="3" t="s">
        <v>153</v>
      </c>
      <c r="H11" s="3" t="s">
        <v>34</v>
      </c>
      <c r="I11" s="3" t="s">
        <v>153</v>
      </c>
      <c r="J11" s="3" t="s">
        <v>153</v>
      </c>
      <c r="K11" s="3" t="s">
        <v>153</v>
      </c>
    </row>
    <row r="12" spans="1:11" x14ac:dyDescent="0.3">
      <c r="D12" s="2" t="s">
        <v>9</v>
      </c>
      <c r="E12" s="2" t="s">
        <v>25</v>
      </c>
      <c r="F12" s="3" t="s">
        <v>153</v>
      </c>
      <c r="G12" s="3" t="s">
        <v>153</v>
      </c>
      <c r="H12" s="3" t="s">
        <v>34</v>
      </c>
      <c r="I12" s="3" t="s">
        <v>153</v>
      </c>
      <c r="J12" s="3" t="s">
        <v>153</v>
      </c>
      <c r="K12" s="3" t="s">
        <v>153</v>
      </c>
    </row>
    <row r="13" spans="1:11" x14ac:dyDescent="0.3">
      <c r="D13" s="2" t="s">
        <v>10</v>
      </c>
      <c r="E13" s="2" t="s">
        <v>26</v>
      </c>
      <c r="F13" s="3" t="s">
        <v>153</v>
      </c>
      <c r="G13" s="3" t="s">
        <v>153</v>
      </c>
      <c r="H13" s="3" t="s">
        <v>34</v>
      </c>
      <c r="I13" s="3" t="s">
        <v>153</v>
      </c>
      <c r="J13" s="3" t="s">
        <v>153</v>
      </c>
      <c r="K13" s="3" t="s">
        <v>153</v>
      </c>
    </row>
    <row r="14" spans="1:11" x14ac:dyDescent="0.3">
      <c r="D14" s="2" t="s">
        <v>11</v>
      </c>
      <c r="E14" s="2" t="s">
        <v>27</v>
      </c>
      <c r="F14" s="3" t="s">
        <v>153</v>
      </c>
      <c r="G14" s="3" t="s">
        <v>153</v>
      </c>
      <c r="H14" s="3" t="s">
        <v>34</v>
      </c>
      <c r="I14" s="3" t="s">
        <v>153</v>
      </c>
      <c r="J14" s="3" t="s">
        <v>153</v>
      </c>
      <c r="K14" s="3" t="s">
        <v>153</v>
      </c>
    </row>
    <row r="15" spans="1:11" x14ac:dyDescent="0.3">
      <c r="D15" s="2" t="s">
        <v>12</v>
      </c>
      <c r="E15" s="2" t="s">
        <v>28</v>
      </c>
      <c r="F15" s="3" t="s">
        <v>153</v>
      </c>
      <c r="G15" s="3" t="s">
        <v>153</v>
      </c>
      <c r="H15" s="3" t="s">
        <v>34</v>
      </c>
      <c r="I15" s="3" t="s">
        <v>153</v>
      </c>
      <c r="J15" s="3" t="s">
        <v>153</v>
      </c>
      <c r="K15" s="3" t="s">
        <v>153</v>
      </c>
    </row>
    <row r="16" spans="1:11" x14ac:dyDescent="0.3">
      <c r="D16" s="2" t="s">
        <v>13</v>
      </c>
      <c r="E16" s="2" t="s">
        <v>29</v>
      </c>
      <c r="F16" s="3" t="s">
        <v>153</v>
      </c>
      <c r="G16" s="3" t="s">
        <v>153</v>
      </c>
      <c r="H16" s="3" t="s">
        <v>34</v>
      </c>
      <c r="I16" s="3" t="s">
        <v>153</v>
      </c>
      <c r="J16" s="3" t="s">
        <v>153</v>
      </c>
      <c r="K16" s="3" t="s">
        <v>153</v>
      </c>
    </row>
    <row r="17" spans="4:11" x14ac:dyDescent="0.3">
      <c r="D17" s="2" t="s">
        <v>14</v>
      </c>
      <c r="E17" s="2" t="s">
        <v>30</v>
      </c>
      <c r="F17" s="3" t="s">
        <v>153</v>
      </c>
      <c r="G17" s="3" t="s">
        <v>153</v>
      </c>
      <c r="H17" s="3" t="s">
        <v>34</v>
      </c>
      <c r="I17" s="3" t="s">
        <v>153</v>
      </c>
      <c r="J17" s="3" t="s">
        <v>153</v>
      </c>
      <c r="K17" s="3" t="s">
        <v>153</v>
      </c>
    </row>
    <row r="18" spans="4:11" x14ac:dyDescent="0.3">
      <c r="D18" s="2" t="s">
        <v>15</v>
      </c>
      <c r="E18" s="2" t="s">
        <v>31</v>
      </c>
      <c r="F18" s="3" t="s">
        <v>153</v>
      </c>
      <c r="G18" s="3" t="s">
        <v>153</v>
      </c>
      <c r="H18" s="3" t="s">
        <v>34</v>
      </c>
      <c r="I18" s="3" t="s">
        <v>153</v>
      </c>
      <c r="J18" s="3" t="s">
        <v>153</v>
      </c>
      <c r="K18" s="3" t="s">
        <v>153</v>
      </c>
    </row>
    <row r="19" spans="4:11" x14ac:dyDescent="0.3">
      <c r="D19" s="2" t="s">
        <v>16</v>
      </c>
      <c r="E19" s="2" t="s">
        <v>32</v>
      </c>
      <c r="F19" s="3" t="s">
        <v>153</v>
      </c>
      <c r="G19" s="3" t="s">
        <v>153</v>
      </c>
      <c r="H19" s="3" t="s">
        <v>34</v>
      </c>
      <c r="I19" s="3" t="s">
        <v>153</v>
      </c>
      <c r="J19" s="3" t="s">
        <v>153</v>
      </c>
      <c r="K19" s="3" t="s">
        <v>153</v>
      </c>
    </row>
    <row r="20" spans="4:11" x14ac:dyDescent="0.3">
      <c r="D20" s="2" t="s">
        <v>17</v>
      </c>
      <c r="E20" s="2" t="s">
        <v>33</v>
      </c>
      <c r="F20" s="3" t="s">
        <v>153</v>
      </c>
      <c r="G20" s="3" t="s">
        <v>153</v>
      </c>
      <c r="H20" s="3" t="s">
        <v>34</v>
      </c>
      <c r="I20" s="3" t="s">
        <v>153</v>
      </c>
      <c r="J20" s="3" t="s">
        <v>153</v>
      </c>
      <c r="K20" s="3" t="s">
        <v>153</v>
      </c>
    </row>
  </sheetData>
  <phoneticPr fontId="1" type="noConversion"/>
  <conditionalFormatting sqref="O4">
    <cfRule type="containsText" dxfId="3" priority="5" operator="containsText" text="Ð">
      <formula>NOT(ISERROR(SEARCH("Ð",O4)))</formula>
    </cfRule>
  </conditionalFormatting>
  <conditionalFormatting sqref="F5:K20">
    <cfRule type="containsText" dxfId="2" priority="1" operator="containsText" text="x">
      <formula>NOT(ISERROR(SEARCH("x",F5)))</formula>
    </cfRule>
    <cfRule type="containsText" dxfId="1" priority="2" operator="containsText" text="Ï">
      <formula>NOT(ISERROR(SEARCH("Ï",F5)))</formula>
    </cfRule>
    <cfRule type="containsText" dxfId="0" priority="3" operator="containsText" text="Ð">
      <formula>NOT(ISERROR(SEARCH("Ð",F5)))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CE0E-A27E-4C71-93DF-9841B97F90C5}">
  <sheetPr codeName="Sheet3"/>
  <dimension ref="A1:AA131"/>
  <sheetViews>
    <sheetView topLeftCell="D74" workbookViewId="0">
      <selection activeCell="G89" sqref="G89"/>
    </sheetView>
  </sheetViews>
  <sheetFormatPr defaultRowHeight="14.4" x14ac:dyDescent="0.3"/>
  <cols>
    <col min="7" max="7" width="32.88671875" bestFit="1" customWidth="1"/>
    <col min="8" max="8" width="10.5546875" bestFit="1" customWidth="1"/>
    <col min="10" max="10" width="13.5546875" customWidth="1"/>
    <col min="13" max="13" width="10.5546875" bestFit="1" customWidth="1"/>
    <col min="17" max="17" width="9.6640625" bestFit="1" customWidth="1"/>
    <col min="18" max="19" width="5.88671875" bestFit="1" customWidth="1"/>
    <col min="20" max="20" width="7.88671875" bestFit="1" customWidth="1"/>
    <col min="21" max="27" width="5.88671875" bestFit="1" customWidth="1"/>
  </cols>
  <sheetData>
    <row r="1" spans="1:20" x14ac:dyDescent="0.3">
      <c r="A1" t="s">
        <v>132</v>
      </c>
      <c r="B1" t="s">
        <v>81</v>
      </c>
      <c r="C1" t="s">
        <v>82</v>
      </c>
      <c r="D1" t="s">
        <v>103</v>
      </c>
      <c r="E1" t="s">
        <v>134</v>
      </c>
      <c r="F1" t="s">
        <v>135</v>
      </c>
    </row>
    <row r="2" spans="1:20" x14ac:dyDescent="0.3">
      <c r="A2">
        <v>1</v>
      </c>
      <c r="B2" t="s">
        <v>130</v>
      </c>
      <c r="C2" t="s">
        <v>83</v>
      </c>
      <c r="D2" t="s">
        <v>104</v>
      </c>
    </row>
    <row r="3" spans="1:20" x14ac:dyDescent="0.3">
      <c r="A3">
        <v>1</v>
      </c>
      <c r="B3" t="s">
        <v>130</v>
      </c>
      <c r="C3" t="s">
        <v>84</v>
      </c>
      <c r="D3" t="s">
        <v>105</v>
      </c>
    </row>
    <row r="4" spans="1:20" x14ac:dyDescent="0.3">
      <c r="A4">
        <v>1</v>
      </c>
      <c r="B4" t="s">
        <v>130</v>
      </c>
      <c r="C4" t="s">
        <v>85</v>
      </c>
      <c r="D4" t="s">
        <v>106</v>
      </c>
      <c r="G4" t="s">
        <v>80</v>
      </c>
      <c r="H4" s="37" t="s">
        <v>146</v>
      </c>
      <c r="I4" s="38"/>
      <c r="J4" s="38"/>
      <c r="L4" t="s">
        <v>80</v>
      </c>
      <c r="M4" s="6" t="s">
        <v>39</v>
      </c>
      <c r="N4" s="6" t="s">
        <v>40</v>
      </c>
      <c r="O4" s="6" t="s">
        <v>42</v>
      </c>
      <c r="Q4" s="35" t="s">
        <v>58</v>
      </c>
      <c r="R4" s="36"/>
      <c r="S4" s="8"/>
    </row>
    <row r="5" spans="1:20" x14ac:dyDescent="0.3">
      <c r="A5">
        <v>1</v>
      </c>
      <c r="B5" t="s">
        <v>130</v>
      </c>
      <c r="C5" t="s">
        <v>86</v>
      </c>
      <c r="D5" t="s">
        <v>107</v>
      </c>
      <c r="G5">
        <v>100</v>
      </c>
      <c r="H5" s="33" t="s">
        <v>70</v>
      </c>
      <c r="I5" s="34"/>
      <c r="J5" s="34"/>
      <c r="L5">
        <v>2000</v>
      </c>
      <c r="M5" s="5" t="s">
        <v>45</v>
      </c>
      <c r="N5" s="5">
        <v>100</v>
      </c>
      <c r="O5" s="5">
        <v>85</v>
      </c>
      <c r="Q5" s="35" t="s">
        <v>59</v>
      </c>
      <c r="R5" s="36"/>
      <c r="S5" s="8"/>
    </row>
    <row r="6" spans="1:20" x14ac:dyDescent="0.3">
      <c r="A6">
        <v>1</v>
      </c>
      <c r="B6" t="s">
        <v>130</v>
      </c>
      <c r="C6" t="s">
        <v>87</v>
      </c>
      <c r="D6" t="s">
        <v>108</v>
      </c>
      <c r="G6">
        <v>1000</v>
      </c>
      <c r="H6" s="33" t="s">
        <v>64</v>
      </c>
      <c r="I6" s="34"/>
      <c r="J6" s="34"/>
      <c r="L6">
        <v>2000</v>
      </c>
      <c r="M6" s="5" t="s">
        <v>46</v>
      </c>
      <c r="N6" s="5">
        <v>150</v>
      </c>
      <c r="O6" s="5">
        <v>140</v>
      </c>
    </row>
    <row r="7" spans="1:20" x14ac:dyDescent="0.3">
      <c r="A7">
        <v>1</v>
      </c>
      <c r="B7" t="s">
        <v>130</v>
      </c>
      <c r="C7" t="s">
        <v>88</v>
      </c>
      <c r="D7" t="s">
        <v>109</v>
      </c>
      <c r="G7">
        <v>200</v>
      </c>
      <c r="H7" s="33" t="s">
        <v>65</v>
      </c>
      <c r="I7" s="34"/>
      <c r="J7" s="34"/>
      <c r="L7">
        <v>2000</v>
      </c>
      <c r="M7" s="5" t="s">
        <v>52</v>
      </c>
      <c r="N7" s="5">
        <v>125</v>
      </c>
      <c r="O7" s="5">
        <v>120</v>
      </c>
      <c r="Q7" s="7" t="s">
        <v>60</v>
      </c>
      <c r="R7" s="7" t="s">
        <v>61</v>
      </c>
      <c r="S7" s="7" t="s">
        <v>62</v>
      </c>
      <c r="T7" s="7" t="s">
        <v>63</v>
      </c>
    </row>
    <row r="8" spans="1:20" x14ac:dyDescent="0.3">
      <c r="A8">
        <v>1</v>
      </c>
      <c r="B8" t="s">
        <v>130</v>
      </c>
      <c r="C8" t="s">
        <v>89</v>
      </c>
      <c r="D8" t="s">
        <v>110</v>
      </c>
      <c r="G8">
        <v>500</v>
      </c>
      <c r="H8" s="33" t="s">
        <v>66</v>
      </c>
      <c r="I8" s="34"/>
      <c r="J8" s="34"/>
      <c r="L8">
        <v>2000</v>
      </c>
      <c r="M8" s="5" t="s">
        <v>47</v>
      </c>
      <c r="N8" s="5">
        <v>150</v>
      </c>
      <c r="O8" s="5">
        <v>135</v>
      </c>
      <c r="Q8" s="8">
        <f>R8+S8+T8</f>
        <v>0</v>
      </c>
      <c r="R8" s="8"/>
      <c r="S8" s="8"/>
      <c r="T8" s="8"/>
    </row>
    <row r="9" spans="1:20" x14ac:dyDescent="0.3">
      <c r="A9">
        <v>1</v>
      </c>
      <c r="B9" t="s">
        <v>130</v>
      </c>
      <c r="C9" t="s">
        <v>90</v>
      </c>
      <c r="D9" t="s">
        <v>111</v>
      </c>
      <c r="G9">
        <v>3000</v>
      </c>
      <c r="H9" s="33" t="s">
        <v>67</v>
      </c>
      <c r="I9" s="34"/>
      <c r="J9" s="34"/>
      <c r="L9">
        <v>2000</v>
      </c>
      <c r="M9" s="5" t="s">
        <v>48</v>
      </c>
      <c r="N9" s="5">
        <v>100</v>
      </c>
      <c r="O9" s="5">
        <v>95</v>
      </c>
    </row>
    <row r="10" spans="1:20" x14ac:dyDescent="0.3">
      <c r="A10">
        <v>1</v>
      </c>
      <c r="B10" t="s">
        <v>130</v>
      </c>
      <c r="C10" t="s">
        <v>91</v>
      </c>
      <c r="D10" t="s">
        <v>112</v>
      </c>
      <c r="G10">
        <v>200</v>
      </c>
      <c r="H10" s="33" t="s">
        <v>68</v>
      </c>
      <c r="I10" s="34"/>
      <c r="J10" s="34"/>
      <c r="L10">
        <v>2000</v>
      </c>
      <c r="M10" s="5" t="s">
        <v>49</v>
      </c>
      <c r="N10" s="5">
        <v>300</v>
      </c>
      <c r="O10" s="5">
        <v>290</v>
      </c>
    </row>
    <row r="11" spans="1:20" x14ac:dyDescent="0.3">
      <c r="A11">
        <v>1</v>
      </c>
      <c r="B11" t="s">
        <v>130</v>
      </c>
      <c r="C11" t="s">
        <v>92</v>
      </c>
      <c r="D11" t="s">
        <v>113</v>
      </c>
      <c r="G11">
        <v>150</v>
      </c>
      <c r="H11" s="33" t="s">
        <v>69</v>
      </c>
      <c r="I11" s="34"/>
      <c r="J11" s="34"/>
      <c r="K11" s="17"/>
      <c r="L11">
        <v>2000</v>
      </c>
      <c r="M11" s="5" t="s">
        <v>50</v>
      </c>
      <c r="N11" s="5">
        <v>225</v>
      </c>
      <c r="O11" s="5">
        <v>220</v>
      </c>
    </row>
    <row r="12" spans="1:20" x14ac:dyDescent="0.3">
      <c r="A12">
        <v>1</v>
      </c>
      <c r="B12" t="s">
        <v>130</v>
      </c>
      <c r="C12" t="s">
        <v>93</v>
      </c>
      <c r="D12" t="s">
        <v>114</v>
      </c>
      <c r="G12">
        <v>200</v>
      </c>
      <c r="H12" s="33" t="s">
        <v>71</v>
      </c>
      <c r="I12" s="34"/>
      <c r="J12" s="34"/>
      <c r="L12">
        <v>2000</v>
      </c>
      <c r="M12" s="5" t="s">
        <v>51</v>
      </c>
      <c r="N12" s="5">
        <v>155</v>
      </c>
      <c r="O12" s="5">
        <v>150</v>
      </c>
    </row>
    <row r="13" spans="1:20" x14ac:dyDescent="0.3">
      <c r="A13">
        <v>1</v>
      </c>
      <c r="B13" t="s">
        <v>130</v>
      </c>
      <c r="C13" t="s">
        <v>94</v>
      </c>
      <c r="D13" t="s">
        <v>115</v>
      </c>
      <c r="G13">
        <v>150</v>
      </c>
      <c r="H13" s="33" t="s">
        <v>72</v>
      </c>
      <c r="I13" s="34"/>
      <c r="J13" s="34"/>
      <c r="L13">
        <v>500</v>
      </c>
      <c r="M13" s="5" t="s">
        <v>53</v>
      </c>
      <c r="N13" s="5">
        <v>10</v>
      </c>
      <c r="O13" s="5">
        <v>9</v>
      </c>
    </row>
    <row r="14" spans="1:20" x14ac:dyDescent="0.3">
      <c r="A14">
        <v>1</v>
      </c>
      <c r="B14" t="s">
        <v>131</v>
      </c>
      <c r="C14" t="s">
        <v>95</v>
      </c>
      <c r="D14" t="s">
        <v>116</v>
      </c>
      <c r="G14">
        <v>500</v>
      </c>
      <c r="H14" s="33" t="s">
        <v>73</v>
      </c>
      <c r="I14" s="34"/>
      <c r="J14" s="34"/>
      <c r="L14">
        <v>100</v>
      </c>
      <c r="M14" s="5" t="s">
        <v>54</v>
      </c>
      <c r="N14" s="5">
        <v>3</v>
      </c>
      <c r="O14" s="5">
        <v>3</v>
      </c>
    </row>
    <row r="15" spans="1:20" x14ac:dyDescent="0.3">
      <c r="A15">
        <v>1</v>
      </c>
      <c r="B15" t="s">
        <v>131</v>
      </c>
      <c r="C15" t="s">
        <v>96</v>
      </c>
      <c r="D15" t="s">
        <v>117</v>
      </c>
      <c r="G15">
        <v>200</v>
      </c>
      <c r="H15" s="33" t="s">
        <v>74</v>
      </c>
      <c r="I15" s="34"/>
      <c r="J15" s="34"/>
    </row>
    <row r="16" spans="1:20" x14ac:dyDescent="0.3">
      <c r="A16">
        <v>1</v>
      </c>
      <c r="B16" t="s">
        <v>131</v>
      </c>
      <c r="C16" t="s">
        <v>97</v>
      </c>
      <c r="D16" t="s">
        <v>118</v>
      </c>
      <c r="G16">
        <v>100</v>
      </c>
      <c r="H16" s="33" t="s">
        <v>75</v>
      </c>
      <c r="I16" s="34"/>
      <c r="J16" s="34"/>
    </row>
    <row r="17" spans="1:27" x14ac:dyDescent="0.3">
      <c r="A17">
        <v>1</v>
      </c>
      <c r="B17" t="s">
        <v>131</v>
      </c>
      <c r="C17" t="s">
        <v>98</v>
      </c>
      <c r="D17" t="s">
        <v>119</v>
      </c>
      <c r="G17">
        <v>200</v>
      </c>
      <c r="H17" s="33" t="s">
        <v>76</v>
      </c>
      <c r="I17" s="34"/>
      <c r="J17" s="34"/>
    </row>
    <row r="18" spans="1:27" x14ac:dyDescent="0.3">
      <c r="A18">
        <v>1</v>
      </c>
      <c r="B18" t="s">
        <v>131</v>
      </c>
      <c r="C18" t="s">
        <v>99</v>
      </c>
      <c r="D18" t="s">
        <v>120</v>
      </c>
      <c r="G18">
        <v>250</v>
      </c>
      <c r="H18" s="33" t="s">
        <v>77</v>
      </c>
      <c r="I18" s="34"/>
      <c r="J18" s="34"/>
    </row>
    <row r="19" spans="1:27" x14ac:dyDescent="0.3">
      <c r="A19">
        <v>1</v>
      </c>
      <c r="B19" t="s">
        <v>131</v>
      </c>
      <c r="C19" t="s">
        <v>100</v>
      </c>
      <c r="D19" t="s">
        <v>121</v>
      </c>
      <c r="G19">
        <v>250</v>
      </c>
      <c r="H19" s="33" t="s">
        <v>78</v>
      </c>
      <c r="I19" s="34"/>
      <c r="J19" s="34"/>
    </row>
    <row r="20" spans="1:27" x14ac:dyDescent="0.3">
      <c r="A20">
        <v>1</v>
      </c>
      <c r="B20" t="s">
        <v>131</v>
      </c>
      <c r="C20" t="s">
        <v>101</v>
      </c>
      <c r="D20" t="s">
        <v>122</v>
      </c>
      <c r="G20">
        <v>500</v>
      </c>
      <c r="H20" s="33" t="s">
        <v>79</v>
      </c>
      <c r="I20" s="34"/>
      <c r="J20" s="34"/>
    </row>
    <row r="21" spans="1:27" x14ac:dyDescent="0.3">
      <c r="A21">
        <v>1</v>
      </c>
      <c r="B21" t="s">
        <v>131</v>
      </c>
      <c r="C21" t="s">
        <v>102</v>
      </c>
      <c r="D21" t="s">
        <v>123</v>
      </c>
    </row>
    <row r="22" spans="1:27" x14ac:dyDescent="0.3">
      <c r="A22">
        <v>1</v>
      </c>
      <c r="B22" t="s">
        <v>130</v>
      </c>
      <c r="C22" t="s">
        <v>83</v>
      </c>
      <c r="D22" t="s">
        <v>124</v>
      </c>
      <c r="G22" s="18" t="s">
        <v>40</v>
      </c>
      <c r="H22" s="18">
        <v>1</v>
      </c>
      <c r="I22" s="18">
        <v>2</v>
      </c>
      <c r="J22" s="18">
        <v>3</v>
      </c>
      <c r="K22" s="18">
        <v>4</v>
      </c>
      <c r="L22" s="18">
        <v>5</v>
      </c>
      <c r="M22" s="18">
        <v>6</v>
      </c>
      <c r="N22" s="18">
        <v>7</v>
      </c>
      <c r="O22" s="18">
        <v>8</v>
      </c>
      <c r="P22" s="18">
        <v>9</v>
      </c>
      <c r="Q22" s="18">
        <v>10</v>
      </c>
      <c r="R22" s="18">
        <v>11</v>
      </c>
      <c r="S22" s="18">
        <v>12</v>
      </c>
      <c r="T22" s="18">
        <v>13</v>
      </c>
      <c r="U22" s="18">
        <v>14</v>
      </c>
      <c r="V22" s="18">
        <v>15</v>
      </c>
      <c r="W22" s="18">
        <v>16</v>
      </c>
      <c r="X22" s="18">
        <v>17</v>
      </c>
      <c r="Y22" s="18">
        <v>18</v>
      </c>
      <c r="Z22" s="18">
        <v>19</v>
      </c>
      <c r="AA22" s="18">
        <v>20</v>
      </c>
    </row>
    <row r="23" spans="1:27" x14ac:dyDescent="0.3">
      <c r="A23">
        <v>1</v>
      </c>
      <c r="B23" t="s">
        <v>130</v>
      </c>
      <c r="C23" t="s">
        <v>84</v>
      </c>
      <c r="D23" t="s">
        <v>125</v>
      </c>
      <c r="G23" s="5" t="s">
        <v>45</v>
      </c>
      <c r="H23" s="18">
        <v>87</v>
      </c>
      <c r="I23" s="18">
        <v>57</v>
      </c>
      <c r="J23" s="18">
        <v>52</v>
      </c>
      <c r="K23" s="18">
        <v>51</v>
      </c>
      <c r="L23" s="18">
        <v>64</v>
      </c>
      <c r="M23" s="18">
        <v>73</v>
      </c>
      <c r="N23" s="18">
        <v>86</v>
      </c>
      <c r="O23" s="18">
        <v>84</v>
      </c>
      <c r="P23" s="18">
        <v>70</v>
      </c>
      <c r="Q23" s="18">
        <v>73</v>
      </c>
      <c r="R23" s="18">
        <v>73</v>
      </c>
      <c r="S23" s="18">
        <v>83</v>
      </c>
      <c r="T23" s="18">
        <v>100</v>
      </c>
      <c r="U23" s="18">
        <v>63</v>
      </c>
      <c r="V23" s="18">
        <v>92</v>
      </c>
      <c r="W23" s="18">
        <v>88</v>
      </c>
      <c r="X23" s="18">
        <v>82</v>
      </c>
      <c r="Y23" s="18">
        <v>65</v>
      </c>
      <c r="Z23" s="18">
        <v>70</v>
      </c>
      <c r="AA23" s="18">
        <v>68</v>
      </c>
    </row>
    <row r="24" spans="1:27" x14ac:dyDescent="0.3">
      <c r="A24">
        <v>1</v>
      </c>
      <c r="B24" t="s">
        <v>130</v>
      </c>
      <c r="C24" t="s">
        <v>85</v>
      </c>
      <c r="D24" t="s">
        <v>126</v>
      </c>
      <c r="G24" s="5" t="s">
        <v>46</v>
      </c>
      <c r="H24" s="18">
        <v>87</v>
      </c>
      <c r="I24" s="18">
        <v>97</v>
      </c>
      <c r="J24" s="18">
        <v>76</v>
      </c>
      <c r="K24" s="18">
        <v>86</v>
      </c>
      <c r="L24" s="18">
        <v>88</v>
      </c>
      <c r="M24" s="18">
        <v>55</v>
      </c>
      <c r="N24" s="18">
        <v>99</v>
      </c>
      <c r="O24" s="18">
        <v>99</v>
      </c>
      <c r="P24" s="18">
        <v>51</v>
      </c>
      <c r="Q24" s="18">
        <v>74</v>
      </c>
      <c r="R24" s="18">
        <v>92</v>
      </c>
      <c r="S24" s="18">
        <v>75</v>
      </c>
      <c r="T24" s="18">
        <v>73</v>
      </c>
      <c r="U24" s="18">
        <v>99</v>
      </c>
      <c r="V24" s="18">
        <v>86</v>
      </c>
      <c r="W24" s="18">
        <v>74</v>
      </c>
      <c r="X24" s="18">
        <v>86</v>
      </c>
      <c r="Y24" s="18">
        <v>82</v>
      </c>
      <c r="Z24" s="18">
        <v>62</v>
      </c>
      <c r="AA24" s="18">
        <v>57</v>
      </c>
    </row>
    <row r="25" spans="1:27" x14ac:dyDescent="0.3">
      <c r="A25">
        <v>1</v>
      </c>
      <c r="B25" t="s">
        <v>130</v>
      </c>
      <c r="C25" t="s">
        <v>86</v>
      </c>
      <c r="D25" t="s">
        <v>127</v>
      </c>
      <c r="G25" s="5" t="s">
        <v>52</v>
      </c>
      <c r="H25" s="18">
        <v>85</v>
      </c>
      <c r="I25" s="18">
        <v>98</v>
      </c>
      <c r="J25" s="18">
        <v>76</v>
      </c>
      <c r="K25" s="18">
        <v>83</v>
      </c>
      <c r="L25" s="18">
        <v>72</v>
      </c>
      <c r="M25" s="18">
        <v>75</v>
      </c>
      <c r="N25" s="18">
        <v>69</v>
      </c>
      <c r="O25" s="18">
        <v>63</v>
      </c>
      <c r="P25" s="18">
        <v>90</v>
      </c>
      <c r="Q25" s="18">
        <v>91</v>
      </c>
      <c r="R25" s="18">
        <v>85</v>
      </c>
      <c r="S25" s="18">
        <v>60</v>
      </c>
      <c r="T25" s="18">
        <v>84</v>
      </c>
      <c r="U25" s="18">
        <v>61</v>
      </c>
      <c r="V25" s="18">
        <v>53</v>
      </c>
      <c r="W25" s="18">
        <v>82</v>
      </c>
      <c r="X25" s="18">
        <v>62</v>
      </c>
      <c r="Y25" s="18">
        <v>87</v>
      </c>
      <c r="Z25" s="18">
        <v>93</v>
      </c>
      <c r="AA25" s="18">
        <v>61</v>
      </c>
    </row>
    <row r="26" spans="1:27" x14ac:dyDescent="0.3">
      <c r="A26">
        <v>1</v>
      </c>
      <c r="B26" t="s">
        <v>131</v>
      </c>
      <c r="C26" t="s">
        <v>95</v>
      </c>
      <c r="D26" t="s">
        <v>128</v>
      </c>
      <c r="G26" s="5" t="s">
        <v>47</v>
      </c>
      <c r="H26" s="18">
        <v>60</v>
      </c>
      <c r="I26" s="18">
        <v>64</v>
      </c>
      <c r="J26" s="18">
        <v>77</v>
      </c>
      <c r="K26" s="18">
        <v>87</v>
      </c>
      <c r="L26" s="18">
        <v>79</v>
      </c>
      <c r="M26" s="18">
        <v>80</v>
      </c>
      <c r="N26" s="18">
        <v>99</v>
      </c>
      <c r="O26" s="18">
        <v>51</v>
      </c>
      <c r="P26" s="18">
        <v>99</v>
      </c>
      <c r="Q26" s="18">
        <v>52</v>
      </c>
      <c r="R26" s="18">
        <v>95</v>
      </c>
      <c r="S26" s="18">
        <v>92</v>
      </c>
      <c r="T26" s="18">
        <v>88</v>
      </c>
      <c r="U26" s="18">
        <v>54</v>
      </c>
      <c r="V26" s="18">
        <v>95</v>
      </c>
      <c r="W26" s="18">
        <v>63</v>
      </c>
      <c r="X26" s="18">
        <v>59</v>
      </c>
      <c r="Y26" s="18">
        <v>62</v>
      </c>
      <c r="Z26" s="18">
        <v>81</v>
      </c>
      <c r="AA26" s="18">
        <v>68</v>
      </c>
    </row>
    <row r="27" spans="1:27" x14ac:dyDescent="0.3">
      <c r="A27">
        <v>1</v>
      </c>
      <c r="B27" t="s">
        <v>131</v>
      </c>
      <c r="C27" t="s">
        <v>96</v>
      </c>
      <c r="D27" t="s">
        <v>129</v>
      </c>
      <c r="G27" s="5" t="s">
        <v>48</v>
      </c>
      <c r="H27" s="18">
        <v>64</v>
      </c>
      <c r="I27" s="18">
        <v>55</v>
      </c>
      <c r="J27" s="18">
        <v>89</v>
      </c>
      <c r="K27" s="18">
        <v>58</v>
      </c>
      <c r="L27" s="18">
        <v>80</v>
      </c>
      <c r="M27" s="18">
        <v>99</v>
      </c>
      <c r="N27" s="18">
        <v>66</v>
      </c>
      <c r="O27" s="18">
        <v>88</v>
      </c>
      <c r="P27" s="18">
        <v>84</v>
      </c>
      <c r="Q27" s="18">
        <v>54</v>
      </c>
      <c r="R27" s="18">
        <v>52</v>
      </c>
      <c r="S27" s="18">
        <v>51</v>
      </c>
      <c r="T27" s="18">
        <v>80</v>
      </c>
      <c r="U27" s="18">
        <v>100</v>
      </c>
      <c r="V27" s="18">
        <v>60</v>
      </c>
      <c r="W27" s="18">
        <v>97</v>
      </c>
      <c r="X27" s="18">
        <v>64</v>
      </c>
      <c r="Y27" s="18">
        <v>57</v>
      </c>
      <c r="Z27" s="18">
        <v>72</v>
      </c>
      <c r="AA27" s="18">
        <v>64</v>
      </c>
    </row>
    <row r="28" spans="1:27" x14ac:dyDescent="0.3">
      <c r="A28">
        <v>2</v>
      </c>
      <c r="B28" t="s">
        <v>130</v>
      </c>
      <c r="C28" t="s">
        <v>83</v>
      </c>
      <c r="G28" s="5" t="s">
        <v>49</v>
      </c>
      <c r="H28" s="18">
        <v>77</v>
      </c>
      <c r="I28" s="18">
        <v>82</v>
      </c>
      <c r="J28" s="18">
        <v>71</v>
      </c>
      <c r="K28" s="18">
        <v>94</v>
      </c>
      <c r="L28" s="18">
        <v>57</v>
      </c>
      <c r="M28" s="18">
        <v>93</v>
      </c>
      <c r="N28" s="18">
        <v>81</v>
      </c>
      <c r="O28" s="18">
        <v>62</v>
      </c>
      <c r="P28" s="18">
        <v>86</v>
      </c>
      <c r="Q28" s="18">
        <v>69</v>
      </c>
      <c r="R28" s="18">
        <v>88</v>
      </c>
      <c r="S28" s="18">
        <v>55</v>
      </c>
      <c r="T28" s="18">
        <v>99</v>
      </c>
      <c r="U28" s="18">
        <v>50</v>
      </c>
      <c r="V28" s="18">
        <v>72</v>
      </c>
      <c r="W28" s="18">
        <v>51</v>
      </c>
      <c r="X28" s="18">
        <v>79</v>
      </c>
      <c r="Y28" s="18">
        <v>75</v>
      </c>
      <c r="Z28" s="18">
        <v>92</v>
      </c>
      <c r="AA28" s="18">
        <v>83</v>
      </c>
    </row>
    <row r="29" spans="1:27" x14ac:dyDescent="0.3">
      <c r="A29">
        <v>2</v>
      </c>
      <c r="B29" t="s">
        <v>130</v>
      </c>
      <c r="C29" t="s">
        <v>84</v>
      </c>
      <c r="G29" s="5" t="s">
        <v>50</v>
      </c>
      <c r="H29" s="18">
        <v>82</v>
      </c>
      <c r="I29" s="18">
        <v>97</v>
      </c>
      <c r="J29" s="18">
        <v>58</v>
      </c>
      <c r="K29" s="18">
        <v>53</v>
      </c>
      <c r="L29" s="18">
        <v>65</v>
      </c>
      <c r="M29" s="18">
        <v>76</v>
      </c>
      <c r="N29" s="18">
        <v>75</v>
      </c>
      <c r="O29" s="18">
        <v>51</v>
      </c>
      <c r="P29" s="18">
        <v>70</v>
      </c>
      <c r="Q29" s="18">
        <v>89</v>
      </c>
      <c r="R29" s="18">
        <v>70</v>
      </c>
      <c r="S29" s="18">
        <v>99</v>
      </c>
      <c r="T29" s="18">
        <v>97</v>
      </c>
      <c r="U29" s="18">
        <v>84</v>
      </c>
      <c r="V29" s="18">
        <v>77</v>
      </c>
      <c r="W29" s="18">
        <v>53</v>
      </c>
      <c r="X29" s="18">
        <v>72</v>
      </c>
      <c r="Y29" s="18">
        <v>97</v>
      </c>
      <c r="Z29" s="18">
        <v>65</v>
      </c>
      <c r="AA29" s="18">
        <v>65</v>
      </c>
    </row>
    <row r="30" spans="1:27" x14ac:dyDescent="0.3">
      <c r="A30">
        <v>2</v>
      </c>
      <c r="B30" t="s">
        <v>130</v>
      </c>
      <c r="C30" t="s">
        <v>85</v>
      </c>
      <c r="G30" s="5" t="s">
        <v>51</v>
      </c>
      <c r="H30" s="18">
        <v>82</v>
      </c>
      <c r="I30" s="18">
        <v>62</v>
      </c>
      <c r="J30" s="18">
        <v>73</v>
      </c>
      <c r="K30" s="18">
        <v>66</v>
      </c>
      <c r="L30" s="18">
        <v>81</v>
      </c>
      <c r="M30" s="18">
        <v>87</v>
      </c>
      <c r="N30" s="18">
        <v>59</v>
      </c>
      <c r="O30" s="18">
        <v>98</v>
      </c>
      <c r="P30" s="18">
        <v>67</v>
      </c>
      <c r="Q30" s="18">
        <v>73</v>
      </c>
      <c r="R30" s="18">
        <v>60</v>
      </c>
      <c r="S30" s="18">
        <v>62</v>
      </c>
      <c r="T30" s="18">
        <v>70</v>
      </c>
      <c r="U30" s="18">
        <v>66</v>
      </c>
      <c r="V30" s="18">
        <v>80</v>
      </c>
      <c r="W30" s="18">
        <v>100</v>
      </c>
      <c r="X30" s="18">
        <v>51</v>
      </c>
      <c r="Y30" s="18">
        <v>93</v>
      </c>
      <c r="Z30" s="18">
        <v>55</v>
      </c>
      <c r="AA30" s="18">
        <v>59</v>
      </c>
    </row>
    <row r="31" spans="1:27" x14ac:dyDescent="0.3">
      <c r="A31">
        <v>2</v>
      </c>
      <c r="B31" t="s">
        <v>130</v>
      </c>
      <c r="C31" t="s">
        <v>86</v>
      </c>
      <c r="G31" s="5" t="s">
        <v>53</v>
      </c>
      <c r="H31" s="18">
        <v>8</v>
      </c>
      <c r="I31" s="18">
        <v>9</v>
      </c>
      <c r="J31" s="18">
        <v>5</v>
      </c>
      <c r="K31" s="18">
        <v>10</v>
      </c>
      <c r="L31" s="18">
        <v>5</v>
      </c>
      <c r="M31" s="18">
        <v>10</v>
      </c>
      <c r="N31" s="18">
        <v>7</v>
      </c>
      <c r="O31" s="18">
        <v>6</v>
      </c>
      <c r="P31" s="18">
        <v>9</v>
      </c>
      <c r="Q31" s="18">
        <v>10</v>
      </c>
      <c r="R31" s="18">
        <v>5</v>
      </c>
      <c r="S31" s="18">
        <v>7</v>
      </c>
      <c r="T31" s="18">
        <v>4</v>
      </c>
      <c r="U31" s="18">
        <v>10</v>
      </c>
      <c r="V31" s="18">
        <v>6</v>
      </c>
      <c r="W31" s="18">
        <v>8</v>
      </c>
      <c r="X31" s="18">
        <v>4</v>
      </c>
      <c r="Y31" s="18">
        <v>9</v>
      </c>
      <c r="Z31" s="18">
        <v>7</v>
      </c>
      <c r="AA31" s="18">
        <v>4</v>
      </c>
    </row>
    <row r="32" spans="1:27" x14ac:dyDescent="0.3">
      <c r="A32">
        <v>2</v>
      </c>
      <c r="B32" t="s">
        <v>130</v>
      </c>
      <c r="C32" t="s">
        <v>87</v>
      </c>
      <c r="G32" s="5" t="s">
        <v>54</v>
      </c>
      <c r="H32" s="18">
        <v>3</v>
      </c>
      <c r="I32" s="18">
        <v>3</v>
      </c>
      <c r="J32" s="18">
        <v>2</v>
      </c>
      <c r="K32" s="18">
        <v>2</v>
      </c>
      <c r="L32" s="18">
        <v>1</v>
      </c>
      <c r="M32" s="18">
        <v>1</v>
      </c>
      <c r="N32" s="18">
        <v>1</v>
      </c>
      <c r="O32" s="18">
        <v>1</v>
      </c>
      <c r="P32" s="18">
        <v>1</v>
      </c>
      <c r="Q32" s="18">
        <v>1</v>
      </c>
      <c r="R32" s="18">
        <v>1</v>
      </c>
      <c r="S32" s="18">
        <v>1</v>
      </c>
      <c r="T32" s="18">
        <v>2</v>
      </c>
      <c r="U32" s="18">
        <v>2</v>
      </c>
      <c r="V32" s="18">
        <v>1</v>
      </c>
      <c r="W32" s="18">
        <v>1</v>
      </c>
      <c r="X32" s="18">
        <v>1</v>
      </c>
      <c r="Y32" s="18">
        <v>1</v>
      </c>
      <c r="Z32" s="18">
        <v>1</v>
      </c>
      <c r="AA32" s="18">
        <v>1</v>
      </c>
    </row>
    <row r="33" spans="1:27" x14ac:dyDescent="0.3">
      <c r="A33">
        <v>2</v>
      </c>
      <c r="B33" t="s">
        <v>130</v>
      </c>
      <c r="C33" t="s">
        <v>88</v>
      </c>
      <c r="G33" s="19" t="s">
        <v>70</v>
      </c>
      <c r="H33" s="18">
        <v>8</v>
      </c>
      <c r="I33" s="18">
        <v>10</v>
      </c>
      <c r="J33" s="18">
        <v>6</v>
      </c>
      <c r="K33" s="18">
        <v>9</v>
      </c>
      <c r="L33" s="18">
        <v>7</v>
      </c>
      <c r="M33" s="18">
        <v>6</v>
      </c>
      <c r="N33" s="18">
        <v>9</v>
      </c>
      <c r="O33" s="18">
        <v>7</v>
      </c>
      <c r="P33" s="18">
        <v>6</v>
      </c>
      <c r="Q33" s="18">
        <v>6</v>
      </c>
      <c r="R33" s="18">
        <v>7</v>
      </c>
      <c r="S33" s="18">
        <v>9</v>
      </c>
      <c r="T33" s="18">
        <v>7</v>
      </c>
      <c r="U33" s="18">
        <v>8</v>
      </c>
      <c r="V33" s="18">
        <v>7</v>
      </c>
      <c r="W33" s="18">
        <v>8</v>
      </c>
      <c r="X33" s="18">
        <v>5</v>
      </c>
      <c r="Y33" s="18">
        <v>6</v>
      </c>
      <c r="Z33" s="18">
        <v>8</v>
      </c>
      <c r="AA33" s="18">
        <v>6</v>
      </c>
    </row>
    <row r="34" spans="1:27" x14ac:dyDescent="0.3">
      <c r="A34">
        <v>2</v>
      </c>
      <c r="B34" t="s">
        <v>130</v>
      </c>
      <c r="C34" t="s">
        <v>89</v>
      </c>
      <c r="G34" s="19" t="s">
        <v>64</v>
      </c>
      <c r="H34" s="18">
        <v>2</v>
      </c>
      <c r="I34" s="18">
        <v>2</v>
      </c>
      <c r="J34" s="18">
        <v>1</v>
      </c>
      <c r="K34" s="18">
        <v>1</v>
      </c>
      <c r="L34" s="18">
        <v>1</v>
      </c>
      <c r="M34" s="18">
        <v>1</v>
      </c>
      <c r="N34" s="18">
        <v>1</v>
      </c>
      <c r="O34" s="18">
        <v>1</v>
      </c>
      <c r="P34" s="18">
        <v>1</v>
      </c>
      <c r="Q34" s="18">
        <v>1</v>
      </c>
      <c r="R34" s="18">
        <v>1</v>
      </c>
      <c r="S34" s="18">
        <v>1</v>
      </c>
      <c r="T34" s="18">
        <v>1</v>
      </c>
      <c r="U34" s="18">
        <v>1</v>
      </c>
      <c r="V34" s="18">
        <v>1</v>
      </c>
      <c r="W34" s="18">
        <v>1</v>
      </c>
      <c r="X34" s="18">
        <v>1</v>
      </c>
      <c r="Y34" s="18">
        <v>1</v>
      </c>
      <c r="Z34" s="18">
        <v>1</v>
      </c>
      <c r="AA34" s="18">
        <v>1</v>
      </c>
    </row>
    <row r="35" spans="1:27" x14ac:dyDescent="0.3">
      <c r="A35">
        <v>2</v>
      </c>
      <c r="B35" t="s">
        <v>130</v>
      </c>
      <c r="C35" t="s">
        <v>90</v>
      </c>
      <c r="G35" s="19" t="s">
        <v>65</v>
      </c>
      <c r="H35" s="18">
        <v>2</v>
      </c>
      <c r="I35" s="18">
        <v>2</v>
      </c>
      <c r="J35" s="18">
        <v>2</v>
      </c>
      <c r="K35" s="18">
        <v>2</v>
      </c>
      <c r="L35" s="18">
        <v>2</v>
      </c>
      <c r="M35" s="18">
        <v>2</v>
      </c>
      <c r="N35" s="18">
        <v>2</v>
      </c>
      <c r="O35" s="18">
        <v>2</v>
      </c>
      <c r="P35" s="18">
        <v>2</v>
      </c>
      <c r="Q35" s="18">
        <v>2</v>
      </c>
      <c r="R35" s="18">
        <v>2</v>
      </c>
      <c r="S35" s="18">
        <v>2</v>
      </c>
      <c r="T35" s="18">
        <v>2</v>
      </c>
      <c r="U35" s="18">
        <v>2</v>
      </c>
      <c r="V35" s="18">
        <v>2</v>
      </c>
      <c r="W35" s="18">
        <v>2</v>
      </c>
      <c r="X35" s="18">
        <v>2</v>
      </c>
      <c r="Y35" s="18">
        <v>2</v>
      </c>
      <c r="Z35" s="18">
        <v>2</v>
      </c>
      <c r="AA35" s="18">
        <v>2</v>
      </c>
    </row>
    <row r="36" spans="1:27" x14ac:dyDescent="0.3">
      <c r="A36">
        <v>2</v>
      </c>
      <c r="B36" t="s">
        <v>130</v>
      </c>
      <c r="C36" t="s">
        <v>91</v>
      </c>
      <c r="G36" s="19" t="s">
        <v>66</v>
      </c>
      <c r="H36" s="18">
        <v>2</v>
      </c>
      <c r="I36" s="18">
        <v>3</v>
      </c>
      <c r="J36" s="18">
        <v>3</v>
      </c>
      <c r="K36" s="18">
        <v>2</v>
      </c>
      <c r="L36" s="18">
        <v>3</v>
      </c>
      <c r="M36" s="18">
        <v>3</v>
      </c>
      <c r="N36" s="18">
        <v>3</v>
      </c>
      <c r="O36" s="18">
        <v>2</v>
      </c>
      <c r="P36" s="18">
        <v>2</v>
      </c>
      <c r="Q36" s="18">
        <v>2</v>
      </c>
      <c r="R36" s="18">
        <v>2</v>
      </c>
      <c r="S36" s="18">
        <v>2</v>
      </c>
      <c r="T36" s="18">
        <v>2</v>
      </c>
      <c r="U36" s="18">
        <v>2</v>
      </c>
      <c r="V36" s="18">
        <v>3</v>
      </c>
      <c r="W36" s="18">
        <v>2</v>
      </c>
      <c r="X36" s="18">
        <v>2</v>
      </c>
      <c r="Y36" s="18">
        <v>3</v>
      </c>
      <c r="Z36" s="18">
        <v>3</v>
      </c>
      <c r="AA36" s="18">
        <v>2</v>
      </c>
    </row>
    <row r="37" spans="1:27" x14ac:dyDescent="0.3">
      <c r="A37">
        <v>2</v>
      </c>
      <c r="B37" t="s">
        <v>130</v>
      </c>
      <c r="C37" t="s">
        <v>92</v>
      </c>
      <c r="G37" s="19" t="s">
        <v>67</v>
      </c>
      <c r="H37" s="18">
        <v>10</v>
      </c>
      <c r="I37" s="18">
        <v>11</v>
      </c>
      <c r="J37" s="18">
        <v>19</v>
      </c>
      <c r="K37" s="18">
        <v>17</v>
      </c>
      <c r="L37" s="18">
        <v>12</v>
      </c>
      <c r="M37" s="18">
        <v>15</v>
      </c>
      <c r="N37" s="18">
        <v>12</v>
      </c>
      <c r="O37" s="18">
        <v>18</v>
      </c>
      <c r="P37" s="18">
        <v>17</v>
      </c>
      <c r="Q37" s="18">
        <v>16</v>
      </c>
      <c r="R37" s="18">
        <v>13</v>
      </c>
      <c r="S37" s="18">
        <v>19</v>
      </c>
      <c r="T37" s="18">
        <v>13</v>
      </c>
      <c r="U37" s="18">
        <v>20</v>
      </c>
      <c r="V37" s="18">
        <v>16</v>
      </c>
      <c r="W37" s="18">
        <v>14</v>
      </c>
      <c r="X37" s="18">
        <v>11</v>
      </c>
      <c r="Y37" s="18">
        <v>10</v>
      </c>
      <c r="Z37" s="18">
        <v>11</v>
      </c>
      <c r="AA37" s="18">
        <v>11</v>
      </c>
    </row>
    <row r="38" spans="1:27" x14ac:dyDescent="0.3">
      <c r="A38">
        <v>2</v>
      </c>
      <c r="B38" t="s">
        <v>130</v>
      </c>
      <c r="C38" t="s">
        <v>93</v>
      </c>
      <c r="G38" s="19" t="s">
        <v>68</v>
      </c>
      <c r="H38" s="18">
        <v>2</v>
      </c>
      <c r="I38" s="18">
        <v>2</v>
      </c>
      <c r="J38" s="18">
        <v>2</v>
      </c>
      <c r="K38" s="18">
        <v>2</v>
      </c>
      <c r="L38" s="18">
        <v>2</v>
      </c>
      <c r="M38" s="18">
        <v>2</v>
      </c>
      <c r="N38" s="18">
        <v>2</v>
      </c>
      <c r="O38" s="18">
        <v>2</v>
      </c>
      <c r="P38" s="18">
        <v>2</v>
      </c>
      <c r="Q38" s="18">
        <v>2</v>
      </c>
      <c r="R38" s="18">
        <v>2</v>
      </c>
      <c r="S38" s="18">
        <v>2</v>
      </c>
      <c r="T38" s="18">
        <v>2</v>
      </c>
      <c r="U38" s="18">
        <v>2</v>
      </c>
      <c r="V38" s="18">
        <v>2</v>
      </c>
      <c r="W38" s="18">
        <v>2</v>
      </c>
      <c r="X38" s="18">
        <v>2</v>
      </c>
      <c r="Y38" s="18">
        <v>2</v>
      </c>
      <c r="Z38" s="18">
        <v>2</v>
      </c>
      <c r="AA38" s="18">
        <v>2</v>
      </c>
    </row>
    <row r="39" spans="1:27" x14ac:dyDescent="0.3">
      <c r="A39">
        <v>2</v>
      </c>
      <c r="B39" t="s">
        <v>130</v>
      </c>
      <c r="C39" t="s">
        <v>94</v>
      </c>
      <c r="G39" s="19" t="s">
        <v>69</v>
      </c>
      <c r="H39" s="18">
        <v>1</v>
      </c>
      <c r="I39" s="18">
        <v>1</v>
      </c>
      <c r="J39" s="18">
        <v>1</v>
      </c>
      <c r="K39" s="18">
        <v>1</v>
      </c>
      <c r="L39" s="18">
        <v>1</v>
      </c>
      <c r="M39" s="18">
        <v>1</v>
      </c>
      <c r="N39" s="18">
        <v>1</v>
      </c>
      <c r="O39" s="18">
        <v>1</v>
      </c>
      <c r="P39" s="18">
        <v>1</v>
      </c>
      <c r="Q39" s="18">
        <v>1</v>
      </c>
      <c r="R39" s="18">
        <v>1</v>
      </c>
      <c r="S39" s="18">
        <v>1</v>
      </c>
      <c r="T39" s="18">
        <v>1</v>
      </c>
      <c r="U39" s="18">
        <v>1</v>
      </c>
      <c r="V39" s="18">
        <v>1</v>
      </c>
      <c r="W39" s="18">
        <v>1</v>
      </c>
      <c r="X39" s="18">
        <v>1</v>
      </c>
      <c r="Y39" s="18">
        <v>1</v>
      </c>
      <c r="Z39" s="18">
        <v>1</v>
      </c>
      <c r="AA39" s="18">
        <v>1</v>
      </c>
    </row>
    <row r="40" spans="1:27" x14ac:dyDescent="0.3">
      <c r="A40">
        <v>2</v>
      </c>
      <c r="B40" t="s">
        <v>131</v>
      </c>
      <c r="C40" t="s">
        <v>95</v>
      </c>
      <c r="G40" s="19" t="s">
        <v>71</v>
      </c>
      <c r="H40" s="18">
        <v>7</v>
      </c>
      <c r="I40" s="18">
        <v>8</v>
      </c>
      <c r="J40" s="18">
        <v>5</v>
      </c>
      <c r="K40" s="18">
        <v>7</v>
      </c>
      <c r="L40" s="18">
        <v>5</v>
      </c>
      <c r="M40" s="18">
        <v>5</v>
      </c>
      <c r="N40" s="18">
        <v>7</v>
      </c>
      <c r="O40" s="18">
        <v>7</v>
      </c>
      <c r="P40" s="18">
        <v>7</v>
      </c>
      <c r="Q40" s="18">
        <v>7</v>
      </c>
      <c r="R40" s="18">
        <v>10</v>
      </c>
      <c r="S40" s="18">
        <v>10</v>
      </c>
      <c r="T40" s="18">
        <v>9</v>
      </c>
      <c r="U40" s="18">
        <v>10</v>
      </c>
      <c r="V40" s="18">
        <v>6</v>
      </c>
      <c r="W40" s="18">
        <v>8</v>
      </c>
      <c r="X40" s="18">
        <v>7</v>
      </c>
      <c r="Y40" s="18">
        <v>9</v>
      </c>
      <c r="Z40" s="18">
        <v>5</v>
      </c>
      <c r="AA40" s="18">
        <v>6</v>
      </c>
    </row>
    <row r="41" spans="1:27" x14ac:dyDescent="0.3">
      <c r="A41">
        <v>2</v>
      </c>
      <c r="B41" t="s">
        <v>131</v>
      </c>
      <c r="C41" t="s">
        <v>96</v>
      </c>
      <c r="G41" s="19" t="s">
        <v>72</v>
      </c>
      <c r="H41" s="18">
        <v>1</v>
      </c>
      <c r="I41" s="18">
        <v>1</v>
      </c>
      <c r="J41" s="18">
        <v>1</v>
      </c>
      <c r="K41" s="18">
        <v>1</v>
      </c>
      <c r="L41" s="18">
        <v>1</v>
      </c>
      <c r="M41" s="18">
        <v>1</v>
      </c>
      <c r="N41" s="18">
        <v>1</v>
      </c>
      <c r="O41" s="18">
        <v>1</v>
      </c>
      <c r="P41" s="18">
        <v>1</v>
      </c>
      <c r="Q41" s="18">
        <v>1</v>
      </c>
      <c r="R41" s="18">
        <v>1</v>
      </c>
      <c r="S41" s="18">
        <v>1</v>
      </c>
      <c r="T41" s="18">
        <v>1</v>
      </c>
      <c r="U41" s="18">
        <v>1</v>
      </c>
      <c r="V41" s="18">
        <v>1</v>
      </c>
      <c r="W41" s="18">
        <v>1</v>
      </c>
      <c r="X41" s="18">
        <v>1</v>
      </c>
      <c r="Y41" s="18">
        <v>1</v>
      </c>
      <c r="Z41" s="18">
        <v>1</v>
      </c>
      <c r="AA41" s="18">
        <v>1</v>
      </c>
    </row>
    <row r="42" spans="1:27" x14ac:dyDescent="0.3">
      <c r="A42">
        <v>2</v>
      </c>
      <c r="B42" t="s">
        <v>131</v>
      </c>
      <c r="C42" t="s">
        <v>97</v>
      </c>
      <c r="G42" s="19" t="s">
        <v>73</v>
      </c>
      <c r="H42" s="18">
        <v>6</v>
      </c>
      <c r="I42" s="18">
        <v>5</v>
      </c>
      <c r="J42" s="18">
        <v>6</v>
      </c>
      <c r="K42" s="18">
        <v>5</v>
      </c>
      <c r="L42" s="18">
        <v>7</v>
      </c>
      <c r="M42" s="18">
        <v>7</v>
      </c>
      <c r="N42" s="18">
        <v>7</v>
      </c>
      <c r="O42" s="18">
        <v>6</v>
      </c>
      <c r="P42" s="18">
        <v>6</v>
      </c>
      <c r="Q42" s="18">
        <v>7</v>
      </c>
      <c r="R42" s="18">
        <v>7</v>
      </c>
      <c r="S42" s="18">
        <v>8</v>
      </c>
      <c r="T42" s="18">
        <v>8</v>
      </c>
      <c r="U42" s="18">
        <v>7</v>
      </c>
      <c r="V42" s="18">
        <v>8</v>
      </c>
      <c r="W42" s="18">
        <v>8</v>
      </c>
      <c r="X42" s="18">
        <v>6</v>
      </c>
      <c r="Y42" s="18">
        <v>5</v>
      </c>
      <c r="Z42" s="18">
        <v>6</v>
      </c>
      <c r="AA42" s="18">
        <v>7</v>
      </c>
    </row>
    <row r="43" spans="1:27" x14ac:dyDescent="0.3">
      <c r="A43">
        <v>2</v>
      </c>
      <c r="B43" t="s">
        <v>131</v>
      </c>
      <c r="C43" t="s">
        <v>98</v>
      </c>
      <c r="G43" s="19" t="s">
        <v>74</v>
      </c>
      <c r="H43" s="18">
        <v>1</v>
      </c>
      <c r="I43" s="18">
        <v>1</v>
      </c>
      <c r="J43" s="18">
        <v>1</v>
      </c>
      <c r="K43" s="18">
        <v>1</v>
      </c>
      <c r="L43" s="18">
        <v>1</v>
      </c>
      <c r="M43" s="18">
        <v>1</v>
      </c>
      <c r="N43" s="18">
        <v>1</v>
      </c>
      <c r="O43" s="18">
        <v>1</v>
      </c>
      <c r="P43" s="18">
        <v>1</v>
      </c>
      <c r="Q43" s="18">
        <v>1</v>
      </c>
      <c r="R43" s="18">
        <v>1</v>
      </c>
      <c r="S43" s="18">
        <v>1</v>
      </c>
      <c r="T43" s="18">
        <v>1</v>
      </c>
      <c r="U43" s="18">
        <v>1</v>
      </c>
      <c r="V43" s="18">
        <v>1</v>
      </c>
      <c r="W43" s="18">
        <v>1</v>
      </c>
      <c r="X43" s="18">
        <v>1</v>
      </c>
      <c r="Y43" s="18">
        <v>1</v>
      </c>
      <c r="Z43" s="18">
        <v>1</v>
      </c>
      <c r="AA43" s="18">
        <v>1</v>
      </c>
    </row>
    <row r="44" spans="1:27" x14ac:dyDescent="0.3">
      <c r="A44">
        <v>2</v>
      </c>
      <c r="B44" t="s">
        <v>131</v>
      </c>
      <c r="C44" t="s">
        <v>99</v>
      </c>
      <c r="G44" s="19" t="s">
        <v>75</v>
      </c>
      <c r="H44" s="18">
        <v>1</v>
      </c>
      <c r="I44" s="18">
        <v>1</v>
      </c>
      <c r="J44" s="18">
        <v>1</v>
      </c>
      <c r="K44" s="18">
        <v>1</v>
      </c>
      <c r="L44" s="18">
        <v>1</v>
      </c>
      <c r="M44" s="18">
        <v>1</v>
      </c>
      <c r="N44" s="18">
        <v>1</v>
      </c>
      <c r="O44" s="18">
        <v>1</v>
      </c>
      <c r="P44" s="18">
        <v>1</v>
      </c>
      <c r="Q44" s="18">
        <v>1</v>
      </c>
      <c r="R44" s="18">
        <v>1</v>
      </c>
      <c r="S44" s="18">
        <v>1</v>
      </c>
      <c r="T44" s="18">
        <v>1</v>
      </c>
      <c r="U44" s="18">
        <v>1</v>
      </c>
      <c r="V44" s="18">
        <v>1</v>
      </c>
      <c r="W44" s="18">
        <v>1</v>
      </c>
      <c r="X44" s="18">
        <v>1</v>
      </c>
      <c r="Y44" s="18">
        <v>1</v>
      </c>
      <c r="Z44" s="18">
        <v>1</v>
      </c>
      <c r="AA44" s="18">
        <v>1</v>
      </c>
    </row>
    <row r="45" spans="1:27" x14ac:dyDescent="0.3">
      <c r="A45">
        <v>2</v>
      </c>
      <c r="B45" t="s">
        <v>131</v>
      </c>
      <c r="C45" t="s">
        <v>100</v>
      </c>
      <c r="G45" s="19" t="s">
        <v>76</v>
      </c>
      <c r="H45" s="18">
        <v>1</v>
      </c>
      <c r="I45" s="18">
        <v>1</v>
      </c>
      <c r="J45" s="18">
        <v>1</v>
      </c>
      <c r="K45" s="18">
        <v>1</v>
      </c>
      <c r="L45" s="18">
        <v>1</v>
      </c>
      <c r="M45" s="18">
        <v>1</v>
      </c>
      <c r="N45" s="18">
        <v>1</v>
      </c>
      <c r="O45" s="18">
        <v>1</v>
      </c>
      <c r="P45" s="18">
        <v>1</v>
      </c>
      <c r="Q45" s="18">
        <v>1</v>
      </c>
      <c r="R45" s="18">
        <v>1</v>
      </c>
      <c r="S45" s="18">
        <v>1</v>
      </c>
      <c r="T45" s="18">
        <v>1</v>
      </c>
      <c r="U45" s="18">
        <v>1</v>
      </c>
      <c r="V45" s="18">
        <v>1</v>
      </c>
      <c r="W45" s="18">
        <v>1</v>
      </c>
      <c r="X45" s="18">
        <v>1</v>
      </c>
      <c r="Y45" s="18">
        <v>1</v>
      </c>
      <c r="Z45" s="18">
        <v>1</v>
      </c>
      <c r="AA45" s="18">
        <v>1</v>
      </c>
    </row>
    <row r="46" spans="1:27" x14ac:dyDescent="0.3">
      <c r="A46">
        <v>2</v>
      </c>
      <c r="B46" t="s">
        <v>131</v>
      </c>
      <c r="C46" t="s">
        <v>101</v>
      </c>
      <c r="G46" s="19" t="s">
        <v>77</v>
      </c>
      <c r="H46" s="18">
        <v>1</v>
      </c>
      <c r="I46" s="18">
        <v>1</v>
      </c>
      <c r="J46" s="18">
        <v>1</v>
      </c>
      <c r="K46" s="18">
        <v>1</v>
      </c>
      <c r="L46" s="18">
        <v>1</v>
      </c>
      <c r="M46" s="18">
        <v>1</v>
      </c>
      <c r="N46" s="18">
        <v>1</v>
      </c>
      <c r="O46" s="18">
        <v>1</v>
      </c>
      <c r="P46" s="18">
        <v>1</v>
      </c>
      <c r="Q46" s="18">
        <v>1</v>
      </c>
      <c r="R46" s="18">
        <v>1</v>
      </c>
      <c r="S46" s="18">
        <v>1</v>
      </c>
      <c r="T46" s="18">
        <v>1</v>
      </c>
      <c r="U46" s="18">
        <v>1</v>
      </c>
      <c r="V46" s="18">
        <v>1</v>
      </c>
      <c r="W46" s="18">
        <v>1</v>
      </c>
      <c r="X46" s="18">
        <v>1</v>
      </c>
      <c r="Y46" s="18">
        <v>1</v>
      </c>
      <c r="Z46" s="18">
        <v>1</v>
      </c>
      <c r="AA46" s="18">
        <v>1</v>
      </c>
    </row>
    <row r="47" spans="1:27" x14ac:dyDescent="0.3">
      <c r="A47">
        <v>2</v>
      </c>
      <c r="B47" t="s">
        <v>131</v>
      </c>
      <c r="C47" t="s">
        <v>102</v>
      </c>
      <c r="G47" s="19" t="s">
        <v>78</v>
      </c>
      <c r="H47" s="18">
        <v>1</v>
      </c>
      <c r="I47" s="18">
        <v>1</v>
      </c>
      <c r="J47" s="18">
        <v>1</v>
      </c>
      <c r="K47" s="18">
        <v>1</v>
      </c>
      <c r="L47" s="18">
        <v>1</v>
      </c>
      <c r="M47" s="18">
        <v>1</v>
      </c>
      <c r="N47" s="18">
        <v>1</v>
      </c>
      <c r="O47" s="18">
        <v>1</v>
      </c>
      <c r="P47" s="18">
        <v>1</v>
      </c>
      <c r="Q47" s="18">
        <v>1</v>
      </c>
      <c r="R47" s="18">
        <v>1</v>
      </c>
      <c r="S47" s="18">
        <v>1</v>
      </c>
      <c r="T47" s="18">
        <v>1</v>
      </c>
      <c r="U47" s="18">
        <v>1</v>
      </c>
      <c r="V47" s="18">
        <v>1</v>
      </c>
      <c r="W47" s="18">
        <v>1</v>
      </c>
      <c r="X47" s="18">
        <v>1</v>
      </c>
      <c r="Y47" s="18">
        <v>1</v>
      </c>
      <c r="Z47" s="18">
        <v>1</v>
      </c>
      <c r="AA47" s="18">
        <v>1</v>
      </c>
    </row>
    <row r="48" spans="1:27" x14ac:dyDescent="0.3">
      <c r="A48">
        <v>3</v>
      </c>
      <c r="B48" t="s">
        <v>130</v>
      </c>
      <c r="C48" t="s">
        <v>83</v>
      </c>
      <c r="G48" s="19" t="s">
        <v>79</v>
      </c>
      <c r="H48" s="18">
        <v>1</v>
      </c>
      <c r="I48" s="18">
        <v>1</v>
      </c>
      <c r="J48" s="18">
        <v>1</v>
      </c>
      <c r="K48" s="18">
        <v>1</v>
      </c>
      <c r="L48" s="18">
        <v>1</v>
      </c>
      <c r="M48" s="18">
        <v>1</v>
      </c>
      <c r="N48" s="18">
        <v>1</v>
      </c>
      <c r="O48" s="18">
        <v>1</v>
      </c>
      <c r="P48" s="18">
        <v>1</v>
      </c>
      <c r="Q48" s="18">
        <v>1</v>
      </c>
      <c r="R48" s="18">
        <v>1</v>
      </c>
      <c r="S48" s="18">
        <v>1</v>
      </c>
      <c r="T48" s="18">
        <v>1</v>
      </c>
      <c r="U48" s="18">
        <v>1</v>
      </c>
      <c r="V48" s="18">
        <v>1</v>
      </c>
      <c r="W48" s="18">
        <v>1</v>
      </c>
      <c r="X48" s="18">
        <v>1</v>
      </c>
      <c r="Y48" s="18">
        <v>1</v>
      </c>
      <c r="Z48" s="18">
        <v>1</v>
      </c>
      <c r="AA48" s="18">
        <v>1</v>
      </c>
    </row>
    <row r="49" spans="1:27" x14ac:dyDescent="0.3">
      <c r="A49">
        <v>3</v>
      </c>
      <c r="B49" t="s">
        <v>130</v>
      </c>
      <c r="C49" t="s">
        <v>84</v>
      </c>
    </row>
    <row r="50" spans="1:27" x14ac:dyDescent="0.3">
      <c r="A50">
        <v>3</v>
      </c>
      <c r="B50" t="s">
        <v>130</v>
      </c>
      <c r="C50" t="s">
        <v>85</v>
      </c>
      <c r="G50" s="18" t="s">
        <v>42</v>
      </c>
      <c r="H50" s="18">
        <v>1</v>
      </c>
      <c r="I50" s="18">
        <v>2</v>
      </c>
      <c r="J50" s="18">
        <v>3</v>
      </c>
      <c r="K50" s="18">
        <v>4</v>
      </c>
      <c r="L50" s="18">
        <v>5</v>
      </c>
      <c r="M50" s="18">
        <v>6</v>
      </c>
      <c r="N50" s="18">
        <v>7</v>
      </c>
      <c r="O50" s="18">
        <v>8</v>
      </c>
      <c r="P50" s="18">
        <v>9</v>
      </c>
      <c r="Q50" s="18">
        <v>10</v>
      </c>
      <c r="R50" s="18">
        <v>11</v>
      </c>
      <c r="S50" s="18">
        <v>12</v>
      </c>
      <c r="T50" s="18">
        <v>13</v>
      </c>
      <c r="U50" s="18">
        <v>14</v>
      </c>
      <c r="V50" s="18">
        <v>15</v>
      </c>
      <c r="W50" s="18">
        <v>16</v>
      </c>
      <c r="X50" s="18">
        <v>17</v>
      </c>
      <c r="Y50" s="18">
        <v>18</v>
      </c>
      <c r="Z50" s="18">
        <v>19</v>
      </c>
      <c r="AA50" s="18">
        <v>20</v>
      </c>
    </row>
    <row r="51" spans="1:27" x14ac:dyDescent="0.3">
      <c r="A51">
        <v>3</v>
      </c>
      <c r="B51" t="s">
        <v>130</v>
      </c>
      <c r="C51" t="s">
        <v>86</v>
      </c>
      <c r="G51" s="5" t="s">
        <v>45</v>
      </c>
      <c r="H51" s="18">
        <v>50</v>
      </c>
      <c r="I51" s="18">
        <v>60</v>
      </c>
      <c r="J51" s="18">
        <v>52</v>
      </c>
      <c r="K51" s="18">
        <v>51</v>
      </c>
      <c r="L51" s="18">
        <v>64</v>
      </c>
      <c r="M51" s="18">
        <v>0</v>
      </c>
      <c r="N51" s="18">
        <v>86</v>
      </c>
      <c r="O51" s="18">
        <v>84</v>
      </c>
      <c r="P51" s="18">
        <v>70</v>
      </c>
      <c r="Q51" s="18">
        <v>73</v>
      </c>
      <c r="R51" s="18">
        <v>73</v>
      </c>
      <c r="S51" s="18">
        <v>83</v>
      </c>
      <c r="T51" s="18">
        <v>100</v>
      </c>
      <c r="U51" s="18">
        <v>63</v>
      </c>
      <c r="V51" s="18">
        <v>92</v>
      </c>
      <c r="W51" s="18">
        <v>88</v>
      </c>
      <c r="X51" s="18">
        <v>82</v>
      </c>
      <c r="Y51" s="18">
        <v>65</v>
      </c>
      <c r="Z51" s="18">
        <v>70</v>
      </c>
      <c r="AA51" s="18">
        <v>68</v>
      </c>
    </row>
    <row r="52" spans="1:27" x14ac:dyDescent="0.3">
      <c r="A52">
        <v>3</v>
      </c>
      <c r="B52" t="s">
        <v>130</v>
      </c>
      <c r="C52" t="s">
        <v>87</v>
      </c>
      <c r="G52" s="5" t="s">
        <v>46</v>
      </c>
      <c r="H52" s="18">
        <v>58</v>
      </c>
      <c r="I52" s="18">
        <v>54</v>
      </c>
      <c r="J52" s="18">
        <v>76</v>
      </c>
      <c r="K52" s="18">
        <v>86</v>
      </c>
      <c r="L52" s="18">
        <v>88</v>
      </c>
      <c r="M52" s="18">
        <v>0</v>
      </c>
      <c r="N52" s="18">
        <v>99</v>
      </c>
      <c r="O52" s="18">
        <v>99</v>
      </c>
      <c r="P52" s="18">
        <v>51</v>
      </c>
      <c r="Q52" s="18">
        <v>74</v>
      </c>
      <c r="R52" s="18">
        <v>92</v>
      </c>
      <c r="S52" s="18">
        <v>75</v>
      </c>
      <c r="T52" s="18">
        <v>73</v>
      </c>
      <c r="U52" s="18">
        <v>99</v>
      </c>
      <c r="V52" s="18">
        <v>86</v>
      </c>
      <c r="W52" s="18">
        <v>74</v>
      </c>
      <c r="X52" s="18">
        <v>86</v>
      </c>
      <c r="Y52" s="18">
        <v>82</v>
      </c>
      <c r="Z52" s="18">
        <v>62</v>
      </c>
      <c r="AA52" s="18">
        <v>57</v>
      </c>
    </row>
    <row r="53" spans="1:27" x14ac:dyDescent="0.3">
      <c r="A53">
        <v>3</v>
      </c>
      <c r="B53" t="s">
        <v>130</v>
      </c>
      <c r="C53" t="s">
        <v>88</v>
      </c>
      <c r="G53" s="5" t="s">
        <v>52</v>
      </c>
      <c r="H53" s="18">
        <v>57</v>
      </c>
      <c r="I53" s="18">
        <v>52</v>
      </c>
      <c r="J53" s="18">
        <v>76</v>
      </c>
      <c r="K53" s="18">
        <v>83</v>
      </c>
      <c r="L53" s="18">
        <v>72</v>
      </c>
      <c r="M53" s="18">
        <v>0</v>
      </c>
      <c r="N53" s="18">
        <v>69</v>
      </c>
      <c r="O53" s="18">
        <v>63</v>
      </c>
      <c r="P53" s="18">
        <v>90</v>
      </c>
      <c r="Q53" s="18">
        <v>91</v>
      </c>
      <c r="R53" s="18">
        <v>85</v>
      </c>
      <c r="S53" s="18">
        <v>60</v>
      </c>
      <c r="T53" s="18">
        <v>84</v>
      </c>
      <c r="U53" s="18">
        <v>61</v>
      </c>
      <c r="V53" s="18">
        <v>53</v>
      </c>
      <c r="W53" s="18">
        <v>82</v>
      </c>
      <c r="X53" s="18">
        <v>62</v>
      </c>
      <c r="Y53" s="18">
        <v>87</v>
      </c>
      <c r="Z53" s="18">
        <v>93</v>
      </c>
      <c r="AA53" s="18">
        <v>61</v>
      </c>
    </row>
    <row r="54" spans="1:27" x14ac:dyDescent="0.3">
      <c r="A54">
        <v>3</v>
      </c>
      <c r="B54" t="s">
        <v>130</v>
      </c>
      <c r="C54" t="s">
        <v>89</v>
      </c>
      <c r="G54" s="5" t="s">
        <v>47</v>
      </c>
      <c r="H54" s="18">
        <v>56</v>
      </c>
      <c r="I54" s="18">
        <v>52</v>
      </c>
      <c r="J54" s="18">
        <v>77</v>
      </c>
      <c r="K54" s="18">
        <v>87</v>
      </c>
      <c r="L54" s="18">
        <v>79</v>
      </c>
      <c r="M54" s="18">
        <v>0</v>
      </c>
      <c r="N54" s="18">
        <v>99</v>
      </c>
      <c r="O54" s="18">
        <v>51</v>
      </c>
      <c r="P54" s="18">
        <v>99</v>
      </c>
      <c r="Q54" s="18">
        <v>52</v>
      </c>
      <c r="R54" s="18">
        <v>95</v>
      </c>
      <c r="S54" s="18">
        <v>92</v>
      </c>
      <c r="T54" s="18">
        <v>88</v>
      </c>
      <c r="U54" s="18">
        <v>54</v>
      </c>
      <c r="V54" s="18">
        <v>95</v>
      </c>
      <c r="W54" s="18">
        <v>63</v>
      </c>
      <c r="X54" s="18">
        <v>59</v>
      </c>
      <c r="Y54" s="18">
        <v>62</v>
      </c>
      <c r="Z54" s="18">
        <v>81</v>
      </c>
      <c r="AA54" s="18">
        <v>68</v>
      </c>
    </row>
    <row r="55" spans="1:27" x14ac:dyDescent="0.3">
      <c r="A55">
        <v>3</v>
      </c>
      <c r="B55" t="s">
        <v>130</v>
      </c>
      <c r="C55" t="s">
        <v>90</v>
      </c>
      <c r="G55" s="5" t="s">
        <v>48</v>
      </c>
      <c r="H55" s="18">
        <v>60</v>
      </c>
      <c r="I55" s="18">
        <v>53</v>
      </c>
      <c r="J55" s="18">
        <v>89</v>
      </c>
      <c r="K55" s="18">
        <v>58</v>
      </c>
      <c r="L55" s="18">
        <v>80</v>
      </c>
      <c r="M55" s="18">
        <v>0</v>
      </c>
      <c r="N55" s="18">
        <v>66</v>
      </c>
      <c r="O55" s="18">
        <v>88</v>
      </c>
      <c r="P55" s="18">
        <v>84</v>
      </c>
      <c r="Q55" s="18">
        <v>54</v>
      </c>
      <c r="R55" s="18">
        <v>52</v>
      </c>
      <c r="S55" s="18">
        <v>51</v>
      </c>
      <c r="T55" s="18">
        <v>80</v>
      </c>
      <c r="U55" s="18">
        <v>100</v>
      </c>
      <c r="V55" s="18">
        <v>60</v>
      </c>
      <c r="W55" s="18">
        <v>97</v>
      </c>
      <c r="X55" s="18">
        <v>64</v>
      </c>
      <c r="Y55" s="18">
        <v>57</v>
      </c>
      <c r="Z55" s="18">
        <v>72</v>
      </c>
      <c r="AA55" s="18">
        <v>64</v>
      </c>
    </row>
    <row r="56" spans="1:27" x14ac:dyDescent="0.3">
      <c r="A56">
        <v>3</v>
      </c>
      <c r="B56" t="s">
        <v>130</v>
      </c>
      <c r="C56" t="s">
        <v>91</v>
      </c>
      <c r="G56" s="5" t="s">
        <v>49</v>
      </c>
      <c r="H56" s="18">
        <v>53</v>
      </c>
      <c r="I56" s="18">
        <v>51</v>
      </c>
      <c r="J56" s="18">
        <v>71</v>
      </c>
      <c r="K56" s="18">
        <v>94</v>
      </c>
      <c r="L56" s="18">
        <v>57</v>
      </c>
      <c r="M56" s="18">
        <v>0</v>
      </c>
      <c r="N56" s="18">
        <v>81</v>
      </c>
      <c r="O56" s="18">
        <v>62</v>
      </c>
      <c r="P56" s="18">
        <v>86</v>
      </c>
      <c r="Q56" s="18">
        <v>69</v>
      </c>
      <c r="R56" s="18">
        <v>88</v>
      </c>
      <c r="S56" s="18">
        <v>55</v>
      </c>
      <c r="T56" s="18">
        <v>99</v>
      </c>
      <c r="U56" s="18">
        <v>50</v>
      </c>
      <c r="V56" s="18">
        <v>72</v>
      </c>
      <c r="W56" s="18">
        <v>51</v>
      </c>
      <c r="X56" s="18">
        <v>79</v>
      </c>
      <c r="Y56" s="18">
        <v>75</v>
      </c>
      <c r="Z56" s="18">
        <v>92</v>
      </c>
      <c r="AA56" s="18">
        <v>83</v>
      </c>
    </row>
    <row r="57" spans="1:27" x14ac:dyDescent="0.3">
      <c r="A57">
        <v>3</v>
      </c>
      <c r="B57" t="s">
        <v>130</v>
      </c>
      <c r="C57" t="s">
        <v>92</v>
      </c>
      <c r="G57" s="5" t="s">
        <v>50</v>
      </c>
      <c r="H57" s="18">
        <v>51</v>
      </c>
      <c r="I57" s="18">
        <v>50</v>
      </c>
      <c r="J57" s="18">
        <v>58</v>
      </c>
      <c r="K57" s="18">
        <v>53</v>
      </c>
      <c r="L57" s="18">
        <v>65</v>
      </c>
      <c r="M57" s="18">
        <v>0</v>
      </c>
      <c r="N57" s="18">
        <v>75</v>
      </c>
      <c r="O57" s="18">
        <v>51</v>
      </c>
      <c r="P57" s="18">
        <v>70</v>
      </c>
      <c r="Q57" s="18">
        <v>89</v>
      </c>
      <c r="R57" s="18">
        <v>70</v>
      </c>
      <c r="S57" s="18">
        <v>99</v>
      </c>
      <c r="T57" s="18">
        <v>97</v>
      </c>
      <c r="U57" s="18">
        <v>84</v>
      </c>
      <c r="V57" s="18">
        <v>77</v>
      </c>
      <c r="W57" s="18">
        <v>53</v>
      </c>
      <c r="X57" s="18">
        <v>72</v>
      </c>
      <c r="Y57" s="18">
        <v>97</v>
      </c>
      <c r="Z57" s="18">
        <v>65</v>
      </c>
      <c r="AA57" s="18">
        <v>65</v>
      </c>
    </row>
    <row r="58" spans="1:27" x14ac:dyDescent="0.3">
      <c r="A58">
        <v>3</v>
      </c>
      <c r="B58" t="s">
        <v>130</v>
      </c>
      <c r="C58" t="s">
        <v>93</v>
      </c>
      <c r="G58" s="5" t="s">
        <v>51</v>
      </c>
      <c r="H58" s="18">
        <v>56</v>
      </c>
      <c r="I58" s="18">
        <v>60</v>
      </c>
      <c r="J58" s="18">
        <v>73</v>
      </c>
      <c r="K58" s="18">
        <v>66</v>
      </c>
      <c r="L58" s="18">
        <v>81</v>
      </c>
      <c r="M58" s="18">
        <v>0</v>
      </c>
      <c r="N58" s="18">
        <v>59</v>
      </c>
      <c r="O58" s="18">
        <v>98</v>
      </c>
      <c r="P58" s="18">
        <v>67</v>
      </c>
      <c r="Q58" s="18">
        <v>73</v>
      </c>
      <c r="R58" s="18">
        <v>60</v>
      </c>
      <c r="S58" s="18">
        <v>62</v>
      </c>
      <c r="T58" s="18">
        <v>70</v>
      </c>
      <c r="U58" s="18">
        <v>66</v>
      </c>
      <c r="V58" s="18">
        <v>80</v>
      </c>
      <c r="W58" s="18">
        <v>100</v>
      </c>
      <c r="X58" s="18">
        <v>51</v>
      </c>
      <c r="Y58" s="18">
        <v>93</v>
      </c>
      <c r="Z58" s="18">
        <v>55</v>
      </c>
      <c r="AA58" s="18">
        <v>59</v>
      </c>
    </row>
    <row r="59" spans="1:27" x14ac:dyDescent="0.3">
      <c r="A59">
        <v>3</v>
      </c>
      <c r="B59" t="s">
        <v>130</v>
      </c>
      <c r="C59" t="s">
        <v>94</v>
      </c>
      <c r="G59" s="5" t="s">
        <v>53</v>
      </c>
      <c r="H59" s="18">
        <v>59</v>
      </c>
      <c r="I59" s="18">
        <v>54</v>
      </c>
      <c r="J59" s="18">
        <v>5</v>
      </c>
      <c r="K59" s="18">
        <v>10</v>
      </c>
      <c r="L59" s="18">
        <v>5</v>
      </c>
      <c r="M59" s="18">
        <v>0</v>
      </c>
      <c r="N59" s="18">
        <v>7</v>
      </c>
      <c r="O59" s="18">
        <v>6</v>
      </c>
      <c r="P59" s="18">
        <v>9</v>
      </c>
      <c r="Q59" s="18">
        <v>10</v>
      </c>
      <c r="R59" s="18">
        <v>5</v>
      </c>
      <c r="S59" s="18">
        <v>7</v>
      </c>
      <c r="T59" s="18">
        <v>4</v>
      </c>
      <c r="U59" s="18">
        <v>10</v>
      </c>
      <c r="V59" s="18">
        <v>6</v>
      </c>
      <c r="W59" s="18">
        <v>8</v>
      </c>
      <c r="X59" s="18">
        <v>4</v>
      </c>
      <c r="Y59" s="18">
        <v>9</v>
      </c>
      <c r="Z59" s="18">
        <v>7</v>
      </c>
      <c r="AA59" s="18">
        <v>4</v>
      </c>
    </row>
    <row r="60" spans="1:27" x14ac:dyDescent="0.3">
      <c r="A60">
        <v>3</v>
      </c>
      <c r="B60" t="s">
        <v>131</v>
      </c>
      <c r="C60" t="s">
        <v>95</v>
      </c>
      <c r="G60" s="5" t="s">
        <v>54</v>
      </c>
      <c r="H60" s="18">
        <v>57</v>
      </c>
      <c r="I60" s="18">
        <v>59</v>
      </c>
      <c r="J60" s="18">
        <v>2</v>
      </c>
      <c r="K60" s="18">
        <v>2</v>
      </c>
      <c r="L60" s="18">
        <v>1</v>
      </c>
      <c r="M60" s="18">
        <v>0</v>
      </c>
      <c r="N60" s="18">
        <v>1</v>
      </c>
      <c r="O60" s="18">
        <v>1</v>
      </c>
      <c r="P60" s="18">
        <v>1</v>
      </c>
      <c r="Q60" s="18">
        <v>1</v>
      </c>
      <c r="R60" s="18">
        <v>1</v>
      </c>
      <c r="S60" s="18">
        <v>1</v>
      </c>
      <c r="T60" s="18">
        <v>2</v>
      </c>
      <c r="U60" s="18">
        <v>2</v>
      </c>
      <c r="V60" s="18">
        <v>1</v>
      </c>
      <c r="W60" s="18">
        <v>1</v>
      </c>
      <c r="X60" s="18">
        <v>1</v>
      </c>
      <c r="Y60" s="18">
        <v>1</v>
      </c>
      <c r="Z60" s="18">
        <v>1</v>
      </c>
      <c r="AA60" s="18">
        <v>1</v>
      </c>
    </row>
    <row r="61" spans="1:27" x14ac:dyDescent="0.3">
      <c r="A61">
        <v>3</v>
      </c>
      <c r="B61" t="s">
        <v>131</v>
      </c>
      <c r="C61" t="s">
        <v>96</v>
      </c>
      <c r="G61" s="19" t="s">
        <v>70</v>
      </c>
      <c r="H61" s="18"/>
      <c r="I61" s="18">
        <v>10</v>
      </c>
      <c r="J61" s="18">
        <v>6</v>
      </c>
      <c r="K61" s="18">
        <v>9</v>
      </c>
      <c r="L61" s="18">
        <v>7</v>
      </c>
      <c r="M61" s="18">
        <v>6</v>
      </c>
      <c r="N61" s="18">
        <v>9</v>
      </c>
      <c r="O61" s="18">
        <v>7</v>
      </c>
      <c r="P61" s="18">
        <v>6</v>
      </c>
      <c r="Q61" s="18">
        <v>6</v>
      </c>
      <c r="R61" s="18">
        <v>7</v>
      </c>
      <c r="S61" s="18">
        <v>9</v>
      </c>
      <c r="T61" s="18">
        <v>7</v>
      </c>
      <c r="U61" s="18">
        <v>8</v>
      </c>
      <c r="V61" s="18">
        <v>7</v>
      </c>
      <c r="W61" s="18">
        <v>8</v>
      </c>
      <c r="X61" s="18">
        <v>5</v>
      </c>
      <c r="Y61" s="18">
        <v>6</v>
      </c>
      <c r="Z61" s="18">
        <v>8</v>
      </c>
      <c r="AA61" s="18">
        <v>6</v>
      </c>
    </row>
    <row r="62" spans="1:27" x14ac:dyDescent="0.3">
      <c r="A62">
        <v>3</v>
      </c>
      <c r="B62" t="s">
        <v>131</v>
      </c>
      <c r="C62" t="s">
        <v>97</v>
      </c>
      <c r="G62" s="19" t="s">
        <v>64</v>
      </c>
      <c r="H62" s="18"/>
      <c r="I62" s="18">
        <v>2</v>
      </c>
      <c r="J62" s="18">
        <v>1</v>
      </c>
      <c r="K62" s="18">
        <v>1</v>
      </c>
      <c r="L62" s="18">
        <v>1</v>
      </c>
      <c r="M62" s="18">
        <v>1</v>
      </c>
      <c r="N62" s="18">
        <v>1</v>
      </c>
      <c r="O62" s="18">
        <v>1</v>
      </c>
      <c r="P62" s="18">
        <v>1</v>
      </c>
      <c r="Q62" s="18">
        <v>1</v>
      </c>
      <c r="R62" s="18">
        <v>1</v>
      </c>
      <c r="S62" s="18">
        <v>1</v>
      </c>
      <c r="T62" s="18">
        <v>1</v>
      </c>
      <c r="U62" s="18">
        <v>1</v>
      </c>
      <c r="V62" s="18">
        <v>1</v>
      </c>
      <c r="W62" s="18">
        <v>1</v>
      </c>
      <c r="X62" s="18">
        <v>1</v>
      </c>
      <c r="Y62" s="18">
        <v>1</v>
      </c>
      <c r="Z62" s="18">
        <v>1</v>
      </c>
      <c r="AA62" s="18">
        <v>1</v>
      </c>
    </row>
    <row r="63" spans="1:27" x14ac:dyDescent="0.3">
      <c r="A63">
        <v>3</v>
      </c>
      <c r="B63" t="s">
        <v>131</v>
      </c>
      <c r="C63" t="s">
        <v>98</v>
      </c>
      <c r="G63" s="19" t="s">
        <v>65</v>
      </c>
      <c r="H63" s="18"/>
      <c r="I63" s="18">
        <v>2</v>
      </c>
      <c r="J63" s="18">
        <v>2</v>
      </c>
      <c r="K63" s="18">
        <v>2</v>
      </c>
      <c r="L63" s="18">
        <v>2</v>
      </c>
      <c r="M63" s="18">
        <v>2</v>
      </c>
      <c r="N63" s="18">
        <v>2</v>
      </c>
      <c r="O63" s="18">
        <v>2</v>
      </c>
      <c r="P63" s="18">
        <v>2</v>
      </c>
      <c r="Q63" s="18">
        <v>2</v>
      </c>
      <c r="R63" s="18">
        <v>2</v>
      </c>
      <c r="S63" s="18">
        <v>2</v>
      </c>
      <c r="T63" s="18">
        <v>2</v>
      </c>
      <c r="U63" s="18">
        <v>2</v>
      </c>
      <c r="V63" s="18">
        <v>2</v>
      </c>
      <c r="W63" s="18">
        <v>2</v>
      </c>
      <c r="X63" s="18">
        <v>2</v>
      </c>
      <c r="Y63" s="18">
        <v>2</v>
      </c>
      <c r="Z63" s="18">
        <v>2</v>
      </c>
      <c r="AA63" s="18">
        <v>2</v>
      </c>
    </row>
    <row r="64" spans="1:27" x14ac:dyDescent="0.3">
      <c r="A64">
        <v>3</v>
      </c>
      <c r="B64" t="s">
        <v>131</v>
      </c>
      <c r="C64" t="s">
        <v>99</v>
      </c>
      <c r="G64" s="19" t="s">
        <v>66</v>
      </c>
      <c r="H64" s="18"/>
      <c r="I64" s="18">
        <v>3</v>
      </c>
      <c r="J64" s="18">
        <v>3</v>
      </c>
      <c r="K64" s="18">
        <v>2</v>
      </c>
      <c r="L64" s="18">
        <v>3</v>
      </c>
      <c r="M64" s="18">
        <v>3</v>
      </c>
      <c r="N64" s="18">
        <v>3</v>
      </c>
      <c r="O64" s="18">
        <v>2</v>
      </c>
      <c r="P64" s="18">
        <v>2</v>
      </c>
      <c r="Q64" s="18">
        <v>2</v>
      </c>
      <c r="R64" s="18">
        <v>2</v>
      </c>
      <c r="S64" s="18">
        <v>2</v>
      </c>
      <c r="T64" s="18">
        <v>2</v>
      </c>
      <c r="U64" s="18">
        <v>2</v>
      </c>
      <c r="V64" s="18">
        <v>3</v>
      </c>
      <c r="W64" s="18">
        <v>2</v>
      </c>
      <c r="X64" s="18">
        <v>2</v>
      </c>
      <c r="Y64" s="18">
        <v>3</v>
      </c>
      <c r="Z64" s="18">
        <v>3</v>
      </c>
      <c r="AA64" s="18">
        <v>2</v>
      </c>
    </row>
    <row r="65" spans="1:27" x14ac:dyDescent="0.3">
      <c r="A65">
        <v>3</v>
      </c>
      <c r="B65" t="s">
        <v>131</v>
      </c>
      <c r="C65" t="s">
        <v>100</v>
      </c>
      <c r="G65" s="19" t="s">
        <v>67</v>
      </c>
      <c r="H65" s="18"/>
      <c r="I65" s="18">
        <v>11</v>
      </c>
      <c r="J65" s="18">
        <v>19</v>
      </c>
      <c r="K65" s="18">
        <v>17</v>
      </c>
      <c r="L65" s="18">
        <v>12</v>
      </c>
      <c r="M65" s="18">
        <v>15</v>
      </c>
      <c r="N65" s="18">
        <v>12</v>
      </c>
      <c r="O65" s="18">
        <v>18</v>
      </c>
      <c r="P65" s="18">
        <v>17</v>
      </c>
      <c r="Q65" s="18">
        <v>16</v>
      </c>
      <c r="R65" s="18">
        <v>13</v>
      </c>
      <c r="S65" s="18">
        <v>19</v>
      </c>
      <c r="T65" s="18">
        <v>13</v>
      </c>
      <c r="U65" s="18">
        <v>20</v>
      </c>
      <c r="V65" s="18">
        <v>16</v>
      </c>
      <c r="W65" s="18">
        <v>14</v>
      </c>
      <c r="X65" s="18">
        <v>11</v>
      </c>
      <c r="Y65" s="18">
        <v>10</v>
      </c>
      <c r="Z65" s="18">
        <v>11</v>
      </c>
      <c r="AA65" s="18">
        <v>11</v>
      </c>
    </row>
    <row r="66" spans="1:27" x14ac:dyDescent="0.3">
      <c r="A66">
        <v>3</v>
      </c>
      <c r="B66" t="s">
        <v>131</v>
      </c>
      <c r="C66" t="s">
        <v>101</v>
      </c>
      <c r="G66" s="19" t="s">
        <v>68</v>
      </c>
      <c r="H66" s="18"/>
      <c r="I66" s="18">
        <v>2</v>
      </c>
      <c r="J66" s="18">
        <v>2</v>
      </c>
      <c r="K66" s="18">
        <v>2</v>
      </c>
      <c r="L66" s="18">
        <v>2</v>
      </c>
      <c r="M66" s="18">
        <v>2</v>
      </c>
      <c r="N66" s="18">
        <v>2</v>
      </c>
      <c r="O66" s="18">
        <v>2</v>
      </c>
      <c r="P66" s="18">
        <v>2</v>
      </c>
      <c r="Q66" s="18">
        <v>2</v>
      </c>
      <c r="R66" s="18">
        <v>2</v>
      </c>
      <c r="S66" s="18">
        <v>2</v>
      </c>
      <c r="T66" s="18">
        <v>2</v>
      </c>
      <c r="U66" s="18">
        <v>2</v>
      </c>
      <c r="V66" s="18">
        <v>2</v>
      </c>
      <c r="W66" s="18">
        <v>2</v>
      </c>
      <c r="X66" s="18">
        <v>2</v>
      </c>
      <c r="Y66" s="18">
        <v>2</v>
      </c>
      <c r="Z66" s="18">
        <v>2</v>
      </c>
      <c r="AA66" s="18">
        <v>2</v>
      </c>
    </row>
    <row r="67" spans="1:27" x14ac:dyDescent="0.3">
      <c r="A67">
        <v>3</v>
      </c>
      <c r="B67" t="s">
        <v>131</v>
      </c>
      <c r="C67" t="s">
        <v>102</v>
      </c>
      <c r="G67" s="19" t="s">
        <v>69</v>
      </c>
      <c r="H67" s="18"/>
      <c r="I67" s="18">
        <v>1</v>
      </c>
      <c r="J67" s="18">
        <v>1</v>
      </c>
      <c r="K67" s="18">
        <v>1</v>
      </c>
      <c r="L67" s="18">
        <v>1</v>
      </c>
      <c r="M67" s="18">
        <v>1</v>
      </c>
      <c r="N67" s="18">
        <v>1</v>
      </c>
      <c r="O67" s="18">
        <v>1</v>
      </c>
      <c r="P67" s="18">
        <v>1</v>
      </c>
      <c r="Q67" s="18">
        <v>1</v>
      </c>
      <c r="R67" s="18">
        <v>1</v>
      </c>
      <c r="S67" s="18">
        <v>1</v>
      </c>
      <c r="T67" s="18">
        <v>1</v>
      </c>
      <c r="U67" s="18">
        <v>1</v>
      </c>
      <c r="V67" s="18">
        <v>1</v>
      </c>
      <c r="W67" s="18">
        <v>1</v>
      </c>
      <c r="X67" s="18">
        <v>1</v>
      </c>
      <c r="Y67" s="18">
        <v>1</v>
      </c>
      <c r="Z67" s="18">
        <v>1</v>
      </c>
      <c r="AA67" s="18">
        <v>1</v>
      </c>
    </row>
    <row r="68" spans="1:27" x14ac:dyDescent="0.3">
      <c r="A68">
        <v>4</v>
      </c>
      <c r="B68" t="s">
        <v>130</v>
      </c>
      <c r="C68" t="s">
        <v>83</v>
      </c>
      <c r="G68" s="19" t="s">
        <v>71</v>
      </c>
      <c r="H68" s="18"/>
      <c r="I68" s="18">
        <v>8</v>
      </c>
      <c r="J68" s="18">
        <v>5</v>
      </c>
      <c r="K68" s="18">
        <v>7</v>
      </c>
      <c r="L68" s="18">
        <v>5</v>
      </c>
      <c r="M68" s="18">
        <v>5</v>
      </c>
      <c r="N68" s="18">
        <v>7</v>
      </c>
      <c r="O68" s="18">
        <v>7</v>
      </c>
      <c r="P68" s="18">
        <v>7</v>
      </c>
      <c r="Q68" s="18">
        <v>7</v>
      </c>
      <c r="R68" s="18">
        <v>10</v>
      </c>
      <c r="S68" s="18">
        <v>10</v>
      </c>
      <c r="T68" s="18">
        <v>9</v>
      </c>
      <c r="U68" s="18">
        <v>10</v>
      </c>
      <c r="V68" s="18">
        <v>6</v>
      </c>
      <c r="W68" s="18">
        <v>8</v>
      </c>
      <c r="X68" s="18">
        <v>7</v>
      </c>
      <c r="Y68" s="18">
        <v>9</v>
      </c>
      <c r="Z68" s="18">
        <v>5</v>
      </c>
      <c r="AA68" s="18">
        <v>6</v>
      </c>
    </row>
    <row r="69" spans="1:27" x14ac:dyDescent="0.3">
      <c r="A69">
        <v>4</v>
      </c>
      <c r="B69" t="s">
        <v>130</v>
      </c>
      <c r="C69" t="s">
        <v>84</v>
      </c>
      <c r="G69" s="19" t="s">
        <v>72</v>
      </c>
      <c r="H69" s="18"/>
      <c r="I69" s="18">
        <v>1</v>
      </c>
      <c r="J69" s="18">
        <v>1</v>
      </c>
      <c r="K69" s="18">
        <v>1</v>
      </c>
      <c r="L69" s="18">
        <v>1</v>
      </c>
      <c r="M69" s="18">
        <v>1</v>
      </c>
      <c r="N69" s="18">
        <v>1</v>
      </c>
      <c r="O69" s="18">
        <v>1</v>
      </c>
      <c r="P69" s="18">
        <v>1</v>
      </c>
      <c r="Q69" s="18">
        <v>1</v>
      </c>
      <c r="R69" s="18">
        <v>1</v>
      </c>
      <c r="S69" s="18">
        <v>1</v>
      </c>
      <c r="T69" s="18">
        <v>1</v>
      </c>
      <c r="U69" s="18">
        <v>1</v>
      </c>
      <c r="V69" s="18">
        <v>1</v>
      </c>
      <c r="W69" s="18">
        <v>1</v>
      </c>
      <c r="X69" s="18">
        <v>1</v>
      </c>
      <c r="Y69" s="18">
        <v>1</v>
      </c>
      <c r="Z69" s="18">
        <v>1</v>
      </c>
      <c r="AA69" s="18">
        <v>1</v>
      </c>
    </row>
    <row r="70" spans="1:27" x14ac:dyDescent="0.3">
      <c r="A70">
        <v>4</v>
      </c>
      <c r="B70" t="s">
        <v>130</v>
      </c>
      <c r="C70" t="s">
        <v>85</v>
      </c>
      <c r="G70" s="19" t="s">
        <v>73</v>
      </c>
      <c r="H70" s="18"/>
      <c r="I70" s="18">
        <v>5</v>
      </c>
      <c r="J70" s="18">
        <v>6</v>
      </c>
      <c r="K70" s="18">
        <v>5</v>
      </c>
      <c r="L70" s="18">
        <v>7</v>
      </c>
      <c r="M70" s="18">
        <v>7</v>
      </c>
      <c r="N70" s="18">
        <v>7</v>
      </c>
      <c r="O70" s="18">
        <v>6</v>
      </c>
      <c r="P70" s="18">
        <v>6</v>
      </c>
      <c r="Q70" s="18">
        <v>7</v>
      </c>
      <c r="R70" s="18">
        <v>7</v>
      </c>
      <c r="S70" s="18">
        <v>8</v>
      </c>
      <c r="T70" s="18">
        <v>8</v>
      </c>
      <c r="U70" s="18">
        <v>7</v>
      </c>
      <c r="V70" s="18">
        <v>8</v>
      </c>
      <c r="W70" s="18">
        <v>8</v>
      </c>
      <c r="X70" s="18">
        <v>6</v>
      </c>
      <c r="Y70" s="18">
        <v>5</v>
      </c>
      <c r="Z70" s="18">
        <v>6</v>
      </c>
      <c r="AA70" s="18">
        <v>7</v>
      </c>
    </row>
    <row r="71" spans="1:27" x14ac:dyDescent="0.3">
      <c r="A71">
        <v>4</v>
      </c>
      <c r="B71" t="s">
        <v>130</v>
      </c>
      <c r="C71" t="s">
        <v>86</v>
      </c>
      <c r="G71" s="19" t="s">
        <v>74</v>
      </c>
      <c r="H71" s="18"/>
      <c r="I71" s="18">
        <v>1</v>
      </c>
      <c r="J71" s="18">
        <v>1</v>
      </c>
      <c r="K71" s="18">
        <v>1</v>
      </c>
      <c r="L71" s="18">
        <v>1</v>
      </c>
      <c r="M71" s="18">
        <v>1</v>
      </c>
      <c r="N71" s="18">
        <v>1</v>
      </c>
      <c r="O71" s="18">
        <v>1</v>
      </c>
      <c r="P71" s="18">
        <v>1</v>
      </c>
      <c r="Q71" s="18">
        <v>1</v>
      </c>
      <c r="R71" s="18">
        <v>1</v>
      </c>
      <c r="S71" s="18">
        <v>1</v>
      </c>
      <c r="T71" s="18">
        <v>1</v>
      </c>
      <c r="U71" s="18">
        <v>1</v>
      </c>
      <c r="V71" s="18">
        <v>1</v>
      </c>
      <c r="W71" s="18">
        <v>1</v>
      </c>
      <c r="X71" s="18">
        <v>1</v>
      </c>
      <c r="Y71" s="18">
        <v>1</v>
      </c>
      <c r="Z71" s="18">
        <v>1</v>
      </c>
      <c r="AA71" s="18">
        <v>1</v>
      </c>
    </row>
    <row r="72" spans="1:27" x14ac:dyDescent="0.3">
      <c r="A72">
        <v>4</v>
      </c>
      <c r="B72" t="s">
        <v>130</v>
      </c>
      <c r="C72" t="s">
        <v>87</v>
      </c>
      <c r="G72" s="19" t="s">
        <v>75</v>
      </c>
      <c r="H72" s="18"/>
      <c r="I72" s="18">
        <v>1</v>
      </c>
      <c r="J72" s="18">
        <v>1</v>
      </c>
      <c r="K72" s="18">
        <v>1</v>
      </c>
      <c r="L72" s="18">
        <v>1</v>
      </c>
      <c r="M72" s="18">
        <v>1</v>
      </c>
      <c r="N72" s="18">
        <v>1</v>
      </c>
      <c r="O72" s="18">
        <v>1</v>
      </c>
      <c r="P72" s="18">
        <v>1</v>
      </c>
      <c r="Q72" s="18">
        <v>1</v>
      </c>
      <c r="R72" s="18">
        <v>1</v>
      </c>
      <c r="S72" s="18">
        <v>1</v>
      </c>
      <c r="T72" s="18">
        <v>1</v>
      </c>
      <c r="U72" s="18">
        <v>1</v>
      </c>
      <c r="V72" s="18">
        <v>1</v>
      </c>
      <c r="W72" s="18">
        <v>1</v>
      </c>
      <c r="X72" s="18">
        <v>1</v>
      </c>
      <c r="Y72" s="18">
        <v>1</v>
      </c>
      <c r="Z72" s="18">
        <v>1</v>
      </c>
      <c r="AA72" s="18">
        <v>1</v>
      </c>
    </row>
    <row r="73" spans="1:27" x14ac:dyDescent="0.3">
      <c r="A73">
        <v>4</v>
      </c>
      <c r="B73" t="s">
        <v>130</v>
      </c>
      <c r="C73" t="s">
        <v>88</v>
      </c>
      <c r="G73" s="19" t="s">
        <v>76</v>
      </c>
      <c r="H73" s="18"/>
      <c r="I73" s="18">
        <v>1</v>
      </c>
      <c r="J73" s="18">
        <v>1</v>
      </c>
      <c r="K73" s="18">
        <v>1</v>
      </c>
      <c r="L73" s="18">
        <v>1</v>
      </c>
      <c r="M73" s="18">
        <v>1</v>
      </c>
      <c r="N73" s="18">
        <v>1</v>
      </c>
      <c r="O73" s="18">
        <v>1</v>
      </c>
      <c r="P73" s="18">
        <v>1</v>
      </c>
      <c r="Q73" s="18">
        <v>1</v>
      </c>
      <c r="R73" s="18">
        <v>1</v>
      </c>
      <c r="S73" s="18">
        <v>1</v>
      </c>
      <c r="T73" s="18">
        <v>1</v>
      </c>
      <c r="U73" s="18">
        <v>1</v>
      </c>
      <c r="V73" s="18">
        <v>1</v>
      </c>
      <c r="W73" s="18">
        <v>1</v>
      </c>
      <c r="X73" s="18">
        <v>1</v>
      </c>
      <c r="Y73" s="18">
        <v>1</v>
      </c>
      <c r="Z73" s="18">
        <v>1</v>
      </c>
      <c r="AA73" s="18">
        <v>1</v>
      </c>
    </row>
    <row r="74" spans="1:27" x14ac:dyDescent="0.3">
      <c r="A74">
        <v>4</v>
      </c>
      <c r="B74" t="s">
        <v>130</v>
      </c>
      <c r="C74" t="s">
        <v>89</v>
      </c>
      <c r="G74" s="19" t="s">
        <v>77</v>
      </c>
      <c r="H74" s="18"/>
      <c r="I74" s="18">
        <v>1</v>
      </c>
      <c r="J74" s="18">
        <v>1</v>
      </c>
      <c r="K74" s="18">
        <v>1</v>
      </c>
      <c r="L74" s="18">
        <v>1</v>
      </c>
      <c r="M74" s="18">
        <v>1</v>
      </c>
      <c r="N74" s="18">
        <v>1</v>
      </c>
      <c r="O74" s="18">
        <v>1</v>
      </c>
      <c r="P74" s="18">
        <v>1</v>
      </c>
      <c r="Q74" s="18">
        <v>1</v>
      </c>
      <c r="R74" s="18">
        <v>1</v>
      </c>
      <c r="S74" s="18">
        <v>1</v>
      </c>
      <c r="T74" s="18">
        <v>1</v>
      </c>
      <c r="U74" s="18">
        <v>1</v>
      </c>
      <c r="V74" s="18">
        <v>1</v>
      </c>
      <c r="W74" s="18">
        <v>1</v>
      </c>
      <c r="X74" s="18">
        <v>1</v>
      </c>
      <c r="Y74" s="18">
        <v>1</v>
      </c>
      <c r="Z74" s="18">
        <v>1</v>
      </c>
      <c r="AA74" s="18">
        <v>1</v>
      </c>
    </row>
    <row r="75" spans="1:27" x14ac:dyDescent="0.3">
      <c r="A75">
        <v>4</v>
      </c>
      <c r="B75" t="s">
        <v>130</v>
      </c>
      <c r="C75" t="s">
        <v>90</v>
      </c>
      <c r="G75" s="19" t="s">
        <v>78</v>
      </c>
      <c r="H75" s="18"/>
      <c r="I75" s="18">
        <v>1</v>
      </c>
      <c r="J75" s="18">
        <v>1</v>
      </c>
      <c r="K75" s="18">
        <v>1</v>
      </c>
      <c r="L75" s="18">
        <v>1</v>
      </c>
      <c r="M75" s="18">
        <v>1</v>
      </c>
      <c r="N75" s="18">
        <v>1</v>
      </c>
      <c r="O75" s="18">
        <v>1</v>
      </c>
      <c r="P75" s="18">
        <v>1</v>
      </c>
      <c r="Q75" s="18">
        <v>1</v>
      </c>
      <c r="R75" s="18">
        <v>1</v>
      </c>
      <c r="S75" s="18">
        <v>1</v>
      </c>
      <c r="T75" s="18">
        <v>1</v>
      </c>
      <c r="U75" s="18">
        <v>1</v>
      </c>
      <c r="V75" s="18">
        <v>1</v>
      </c>
      <c r="W75" s="18">
        <v>1</v>
      </c>
      <c r="X75" s="18">
        <v>1</v>
      </c>
      <c r="Y75" s="18">
        <v>1</v>
      </c>
      <c r="Z75" s="18">
        <v>1</v>
      </c>
      <c r="AA75" s="18">
        <v>1</v>
      </c>
    </row>
    <row r="76" spans="1:27" x14ac:dyDescent="0.3">
      <c r="A76">
        <v>4</v>
      </c>
      <c r="B76" t="s">
        <v>130</v>
      </c>
      <c r="C76" t="s">
        <v>91</v>
      </c>
      <c r="G76" s="19" t="s">
        <v>79</v>
      </c>
      <c r="H76" s="18"/>
      <c r="I76" s="18">
        <v>1</v>
      </c>
      <c r="J76" s="18">
        <v>1</v>
      </c>
      <c r="K76" s="18">
        <v>1</v>
      </c>
      <c r="L76" s="18">
        <v>1</v>
      </c>
      <c r="M76" s="18">
        <v>1</v>
      </c>
      <c r="N76" s="18">
        <v>1</v>
      </c>
      <c r="O76" s="18">
        <v>1</v>
      </c>
      <c r="P76" s="18">
        <v>1</v>
      </c>
      <c r="Q76" s="18">
        <v>1</v>
      </c>
      <c r="R76" s="18">
        <v>1</v>
      </c>
      <c r="S76" s="18">
        <v>1</v>
      </c>
      <c r="T76" s="18">
        <v>1</v>
      </c>
      <c r="U76" s="18">
        <v>1</v>
      </c>
      <c r="V76" s="18">
        <v>1</v>
      </c>
      <c r="W76" s="18">
        <v>1</v>
      </c>
      <c r="X76" s="18">
        <v>1</v>
      </c>
      <c r="Y76" s="18">
        <v>1</v>
      </c>
      <c r="Z76" s="18">
        <v>1</v>
      </c>
      <c r="AA76" s="18">
        <v>1</v>
      </c>
    </row>
    <row r="77" spans="1:27" x14ac:dyDescent="0.3">
      <c r="A77">
        <v>4</v>
      </c>
      <c r="B77" t="s">
        <v>130</v>
      </c>
      <c r="C77" t="s">
        <v>92</v>
      </c>
    </row>
    <row r="78" spans="1:27" x14ac:dyDescent="0.3">
      <c r="A78">
        <v>4</v>
      </c>
      <c r="B78" t="s">
        <v>130</v>
      </c>
      <c r="C78" t="s">
        <v>93</v>
      </c>
      <c r="G78" s="18" t="s">
        <v>42</v>
      </c>
      <c r="H78" s="18">
        <v>1</v>
      </c>
      <c r="I78" s="18">
        <v>2</v>
      </c>
      <c r="J78" s="18">
        <v>3</v>
      </c>
      <c r="K78" s="18">
        <v>4</v>
      </c>
      <c r="L78" s="18">
        <v>5</v>
      </c>
      <c r="M78" s="18">
        <v>6</v>
      </c>
      <c r="N78" s="18">
        <v>7</v>
      </c>
      <c r="O78" s="18">
        <v>8</v>
      </c>
      <c r="P78" s="18">
        <v>9</v>
      </c>
      <c r="Q78" s="18">
        <v>10</v>
      </c>
      <c r="R78" s="18">
        <v>11</v>
      </c>
      <c r="S78" s="18">
        <v>12</v>
      </c>
      <c r="T78" s="18">
        <v>13</v>
      </c>
      <c r="U78" s="18">
        <v>14</v>
      </c>
      <c r="V78" s="18">
        <v>15</v>
      </c>
      <c r="W78" s="18">
        <v>16</v>
      </c>
      <c r="X78" s="18">
        <v>17</v>
      </c>
      <c r="Y78" s="18">
        <v>18</v>
      </c>
      <c r="Z78" s="18">
        <v>19</v>
      </c>
      <c r="AA78" s="18">
        <v>20</v>
      </c>
    </row>
    <row r="79" spans="1:27" x14ac:dyDescent="0.3">
      <c r="A79">
        <v>4</v>
      </c>
      <c r="B79" t="s">
        <v>130</v>
      </c>
      <c r="C79" t="s">
        <v>94</v>
      </c>
      <c r="G79" s="5" t="s">
        <v>45</v>
      </c>
      <c r="H79" s="18">
        <f>H23-H51</f>
        <v>37</v>
      </c>
      <c r="I79" s="18">
        <f t="shared" ref="I79:AA79" si="0">I23-I51</f>
        <v>-3</v>
      </c>
      <c r="J79" s="18">
        <f t="shared" si="0"/>
        <v>0</v>
      </c>
      <c r="K79" s="18">
        <f t="shared" si="0"/>
        <v>0</v>
      </c>
      <c r="L79" s="18">
        <f t="shared" si="0"/>
        <v>0</v>
      </c>
      <c r="M79" s="18">
        <f t="shared" si="0"/>
        <v>73</v>
      </c>
      <c r="N79" s="18">
        <f t="shared" si="0"/>
        <v>0</v>
      </c>
      <c r="O79" s="18">
        <f t="shared" si="0"/>
        <v>0</v>
      </c>
      <c r="P79" s="18">
        <f t="shared" si="0"/>
        <v>0</v>
      </c>
      <c r="Q79" s="18">
        <f t="shared" si="0"/>
        <v>0</v>
      </c>
      <c r="R79" s="18">
        <f t="shared" si="0"/>
        <v>0</v>
      </c>
      <c r="S79" s="18">
        <f t="shared" si="0"/>
        <v>0</v>
      </c>
      <c r="T79" s="18">
        <f t="shared" si="0"/>
        <v>0</v>
      </c>
      <c r="U79" s="18">
        <f t="shared" si="0"/>
        <v>0</v>
      </c>
      <c r="V79" s="18">
        <f t="shared" si="0"/>
        <v>0</v>
      </c>
      <c r="W79" s="18">
        <f t="shared" si="0"/>
        <v>0</v>
      </c>
      <c r="X79" s="18">
        <f t="shared" si="0"/>
        <v>0</v>
      </c>
      <c r="Y79" s="18">
        <f t="shared" si="0"/>
        <v>0</v>
      </c>
      <c r="Z79" s="18">
        <f t="shared" si="0"/>
        <v>0</v>
      </c>
      <c r="AA79" s="18">
        <f t="shared" si="0"/>
        <v>0</v>
      </c>
    </row>
    <row r="80" spans="1:27" x14ac:dyDescent="0.3">
      <c r="A80">
        <v>4</v>
      </c>
      <c r="B80" t="s">
        <v>131</v>
      </c>
      <c r="C80" t="s">
        <v>95</v>
      </c>
      <c r="G80" s="5" t="s">
        <v>46</v>
      </c>
      <c r="H80" s="18">
        <f t="shared" ref="H80:AA80" si="1">H24-H52</f>
        <v>29</v>
      </c>
      <c r="I80" s="18">
        <f t="shared" si="1"/>
        <v>43</v>
      </c>
      <c r="J80" s="18">
        <f t="shared" si="1"/>
        <v>0</v>
      </c>
      <c r="K80" s="18">
        <f t="shared" si="1"/>
        <v>0</v>
      </c>
      <c r="L80" s="18">
        <f t="shared" si="1"/>
        <v>0</v>
      </c>
      <c r="M80" s="18">
        <f t="shared" si="1"/>
        <v>55</v>
      </c>
      <c r="N80" s="18">
        <f t="shared" si="1"/>
        <v>0</v>
      </c>
      <c r="O80" s="18">
        <f t="shared" si="1"/>
        <v>0</v>
      </c>
      <c r="P80" s="18">
        <f t="shared" si="1"/>
        <v>0</v>
      </c>
      <c r="Q80" s="18">
        <f t="shared" si="1"/>
        <v>0</v>
      </c>
      <c r="R80" s="18">
        <f t="shared" si="1"/>
        <v>0</v>
      </c>
      <c r="S80" s="18">
        <f t="shared" si="1"/>
        <v>0</v>
      </c>
      <c r="T80" s="18">
        <f t="shared" si="1"/>
        <v>0</v>
      </c>
      <c r="U80" s="18">
        <f t="shared" si="1"/>
        <v>0</v>
      </c>
      <c r="V80" s="18">
        <f t="shared" si="1"/>
        <v>0</v>
      </c>
      <c r="W80" s="18">
        <f t="shared" si="1"/>
        <v>0</v>
      </c>
      <c r="X80" s="18">
        <f t="shared" si="1"/>
        <v>0</v>
      </c>
      <c r="Y80" s="18">
        <f t="shared" si="1"/>
        <v>0</v>
      </c>
      <c r="Z80" s="18">
        <f t="shared" si="1"/>
        <v>0</v>
      </c>
      <c r="AA80" s="18">
        <f t="shared" si="1"/>
        <v>0</v>
      </c>
    </row>
    <row r="81" spans="1:27" x14ac:dyDescent="0.3">
      <c r="A81">
        <v>4</v>
      </c>
      <c r="B81" t="s">
        <v>131</v>
      </c>
      <c r="C81" t="s">
        <v>96</v>
      </c>
      <c r="G81" s="5" t="s">
        <v>52</v>
      </c>
      <c r="H81" s="18">
        <f t="shared" ref="H81:AA81" si="2">H25-H53</f>
        <v>28</v>
      </c>
      <c r="I81" s="18">
        <f t="shared" si="2"/>
        <v>46</v>
      </c>
      <c r="J81" s="18">
        <f t="shared" si="2"/>
        <v>0</v>
      </c>
      <c r="K81" s="18">
        <f t="shared" si="2"/>
        <v>0</v>
      </c>
      <c r="L81" s="18">
        <f t="shared" si="2"/>
        <v>0</v>
      </c>
      <c r="M81" s="18">
        <f t="shared" si="2"/>
        <v>75</v>
      </c>
      <c r="N81" s="18">
        <f t="shared" si="2"/>
        <v>0</v>
      </c>
      <c r="O81" s="18">
        <f t="shared" si="2"/>
        <v>0</v>
      </c>
      <c r="P81" s="18">
        <f t="shared" si="2"/>
        <v>0</v>
      </c>
      <c r="Q81" s="18">
        <f t="shared" si="2"/>
        <v>0</v>
      </c>
      <c r="R81" s="18">
        <f t="shared" si="2"/>
        <v>0</v>
      </c>
      <c r="S81" s="18">
        <f t="shared" si="2"/>
        <v>0</v>
      </c>
      <c r="T81" s="18">
        <f t="shared" si="2"/>
        <v>0</v>
      </c>
      <c r="U81" s="18">
        <f t="shared" si="2"/>
        <v>0</v>
      </c>
      <c r="V81" s="18">
        <f t="shared" si="2"/>
        <v>0</v>
      </c>
      <c r="W81" s="18">
        <f t="shared" si="2"/>
        <v>0</v>
      </c>
      <c r="X81" s="18">
        <f t="shared" si="2"/>
        <v>0</v>
      </c>
      <c r="Y81" s="18">
        <f t="shared" si="2"/>
        <v>0</v>
      </c>
      <c r="Z81" s="18">
        <f t="shared" si="2"/>
        <v>0</v>
      </c>
      <c r="AA81" s="18">
        <f t="shared" si="2"/>
        <v>0</v>
      </c>
    </row>
    <row r="82" spans="1:27" x14ac:dyDescent="0.3">
      <c r="A82">
        <v>4</v>
      </c>
      <c r="B82" t="s">
        <v>131</v>
      </c>
      <c r="C82" t="s">
        <v>97</v>
      </c>
      <c r="G82" s="5" t="s">
        <v>47</v>
      </c>
      <c r="H82" s="18">
        <f t="shared" ref="H82:AA82" si="3">H26-H54</f>
        <v>4</v>
      </c>
      <c r="I82" s="18">
        <f t="shared" si="3"/>
        <v>12</v>
      </c>
      <c r="J82" s="18">
        <f t="shared" si="3"/>
        <v>0</v>
      </c>
      <c r="K82" s="18">
        <f t="shared" si="3"/>
        <v>0</v>
      </c>
      <c r="L82" s="18">
        <f t="shared" si="3"/>
        <v>0</v>
      </c>
      <c r="M82" s="18">
        <f t="shared" si="3"/>
        <v>80</v>
      </c>
      <c r="N82" s="18">
        <f t="shared" si="3"/>
        <v>0</v>
      </c>
      <c r="O82" s="18">
        <f t="shared" si="3"/>
        <v>0</v>
      </c>
      <c r="P82" s="18">
        <f t="shared" si="3"/>
        <v>0</v>
      </c>
      <c r="Q82" s="18">
        <f t="shared" si="3"/>
        <v>0</v>
      </c>
      <c r="R82" s="18">
        <f t="shared" si="3"/>
        <v>0</v>
      </c>
      <c r="S82" s="18">
        <f t="shared" si="3"/>
        <v>0</v>
      </c>
      <c r="T82" s="18">
        <f t="shared" si="3"/>
        <v>0</v>
      </c>
      <c r="U82" s="18">
        <f t="shared" si="3"/>
        <v>0</v>
      </c>
      <c r="V82" s="18">
        <f t="shared" si="3"/>
        <v>0</v>
      </c>
      <c r="W82" s="18">
        <f t="shared" si="3"/>
        <v>0</v>
      </c>
      <c r="X82" s="18">
        <f t="shared" si="3"/>
        <v>0</v>
      </c>
      <c r="Y82" s="18">
        <f t="shared" si="3"/>
        <v>0</v>
      </c>
      <c r="Z82" s="18">
        <f t="shared" si="3"/>
        <v>0</v>
      </c>
      <c r="AA82" s="18">
        <f t="shared" si="3"/>
        <v>0</v>
      </c>
    </row>
    <row r="83" spans="1:27" x14ac:dyDescent="0.3">
      <c r="A83">
        <v>4</v>
      </c>
      <c r="B83" t="s">
        <v>131</v>
      </c>
      <c r="C83" t="s">
        <v>98</v>
      </c>
      <c r="G83" s="5" t="s">
        <v>48</v>
      </c>
      <c r="H83" s="18">
        <f t="shared" ref="H83:AA83" si="4">H27-H55</f>
        <v>4</v>
      </c>
      <c r="I83" s="18">
        <f t="shared" si="4"/>
        <v>2</v>
      </c>
      <c r="J83" s="18">
        <f t="shared" si="4"/>
        <v>0</v>
      </c>
      <c r="K83" s="18">
        <f t="shared" si="4"/>
        <v>0</v>
      </c>
      <c r="L83" s="18">
        <f t="shared" si="4"/>
        <v>0</v>
      </c>
      <c r="M83" s="18">
        <f t="shared" si="4"/>
        <v>99</v>
      </c>
      <c r="N83" s="18">
        <f t="shared" si="4"/>
        <v>0</v>
      </c>
      <c r="O83" s="18">
        <f t="shared" si="4"/>
        <v>0</v>
      </c>
      <c r="P83" s="18">
        <f t="shared" si="4"/>
        <v>0</v>
      </c>
      <c r="Q83" s="18">
        <f t="shared" si="4"/>
        <v>0</v>
      </c>
      <c r="R83" s="18">
        <f t="shared" si="4"/>
        <v>0</v>
      </c>
      <c r="S83" s="18">
        <f t="shared" si="4"/>
        <v>0</v>
      </c>
      <c r="T83" s="18">
        <f t="shared" si="4"/>
        <v>0</v>
      </c>
      <c r="U83" s="18">
        <f t="shared" si="4"/>
        <v>0</v>
      </c>
      <c r="V83" s="18">
        <f t="shared" si="4"/>
        <v>0</v>
      </c>
      <c r="W83" s="18">
        <f t="shared" si="4"/>
        <v>0</v>
      </c>
      <c r="X83" s="18">
        <f t="shared" si="4"/>
        <v>0</v>
      </c>
      <c r="Y83" s="18">
        <f t="shared" si="4"/>
        <v>0</v>
      </c>
      <c r="Z83" s="18">
        <f t="shared" si="4"/>
        <v>0</v>
      </c>
      <c r="AA83" s="18">
        <f t="shared" si="4"/>
        <v>0</v>
      </c>
    </row>
    <row r="84" spans="1:27" x14ac:dyDescent="0.3">
      <c r="A84">
        <v>4</v>
      </c>
      <c r="B84" t="s">
        <v>131</v>
      </c>
      <c r="C84" t="s">
        <v>99</v>
      </c>
      <c r="G84" s="5" t="s">
        <v>49</v>
      </c>
      <c r="H84" s="18">
        <f t="shared" ref="H84:AA84" si="5">H28-H56</f>
        <v>24</v>
      </c>
      <c r="I84" s="18">
        <f t="shared" si="5"/>
        <v>31</v>
      </c>
      <c r="J84" s="18">
        <f t="shared" si="5"/>
        <v>0</v>
      </c>
      <c r="K84" s="18">
        <f t="shared" si="5"/>
        <v>0</v>
      </c>
      <c r="L84" s="18">
        <f t="shared" si="5"/>
        <v>0</v>
      </c>
      <c r="M84" s="18">
        <f t="shared" si="5"/>
        <v>93</v>
      </c>
      <c r="N84" s="18">
        <f t="shared" si="5"/>
        <v>0</v>
      </c>
      <c r="O84" s="18">
        <f t="shared" si="5"/>
        <v>0</v>
      </c>
      <c r="P84" s="18">
        <f t="shared" si="5"/>
        <v>0</v>
      </c>
      <c r="Q84" s="18">
        <f t="shared" si="5"/>
        <v>0</v>
      </c>
      <c r="R84" s="18">
        <f t="shared" si="5"/>
        <v>0</v>
      </c>
      <c r="S84" s="18">
        <f t="shared" si="5"/>
        <v>0</v>
      </c>
      <c r="T84" s="18">
        <f t="shared" si="5"/>
        <v>0</v>
      </c>
      <c r="U84" s="18">
        <f t="shared" si="5"/>
        <v>0</v>
      </c>
      <c r="V84" s="18">
        <f t="shared" si="5"/>
        <v>0</v>
      </c>
      <c r="W84" s="18">
        <f t="shared" si="5"/>
        <v>0</v>
      </c>
      <c r="X84" s="18">
        <f t="shared" si="5"/>
        <v>0</v>
      </c>
      <c r="Y84" s="18">
        <f t="shared" si="5"/>
        <v>0</v>
      </c>
      <c r="Z84" s="18">
        <f t="shared" si="5"/>
        <v>0</v>
      </c>
      <c r="AA84" s="18">
        <f t="shared" si="5"/>
        <v>0</v>
      </c>
    </row>
    <row r="85" spans="1:27" x14ac:dyDescent="0.3">
      <c r="A85">
        <v>4</v>
      </c>
      <c r="B85" t="s">
        <v>131</v>
      </c>
      <c r="C85" t="s">
        <v>100</v>
      </c>
      <c r="G85" s="5" t="s">
        <v>50</v>
      </c>
      <c r="H85" s="18">
        <f t="shared" ref="H85:AA85" si="6">H29-H57</f>
        <v>31</v>
      </c>
      <c r="I85" s="18">
        <f t="shared" si="6"/>
        <v>47</v>
      </c>
      <c r="J85" s="18">
        <f t="shared" si="6"/>
        <v>0</v>
      </c>
      <c r="K85" s="18">
        <f t="shared" si="6"/>
        <v>0</v>
      </c>
      <c r="L85" s="18">
        <f t="shared" si="6"/>
        <v>0</v>
      </c>
      <c r="M85" s="18">
        <f t="shared" si="6"/>
        <v>76</v>
      </c>
      <c r="N85" s="18">
        <f t="shared" si="6"/>
        <v>0</v>
      </c>
      <c r="O85" s="18">
        <f t="shared" si="6"/>
        <v>0</v>
      </c>
      <c r="P85" s="18">
        <f t="shared" si="6"/>
        <v>0</v>
      </c>
      <c r="Q85" s="18">
        <f t="shared" si="6"/>
        <v>0</v>
      </c>
      <c r="R85" s="18">
        <f t="shared" si="6"/>
        <v>0</v>
      </c>
      <c r="S85" s="18">
        <f t="shared" si="6"/>
        <v>0</v>
      </c>
      <c r="T85" s="18">
        <f t="shared" si="6"/>
        <v>0</v>
      </c>
      <c r="U85" s="18">
        <f t="shared" si="6"/>
        <v>0</v>
      </c>
      <c r="V85" s="18">
        <f t="shared" si="6"/>
        <v>0</v>
      </c>
      <c r="W85" s="18">
        <f t="shared" si="6"/>
        <v>0</v>
      </c>
      <c r="X85" s="18">
        <f t="shared" si="6"/>
        <v>0</v>
      </c>
      <c r="Y85" s="18">
        <f t="shared" si="6"/>
        <v>0</v>
      </c>
      <c r="Z85" s="18">
        <f t="shared" si="6"/>
        <v>0</v>
      </c>
      <c r="AA85" s="18">
        <f t="shared" si="6"/>
        <v>0</v>
      </c>
    </row>
    <row r="86" spans="1:27" x14ac:dyDescent="0.3">
      <c r="A86">
        <v>4</v>
      </c>
      <c r="B86" t="s">
        <v>131</v>
      </c>
      <c r="C86" t="s">
        <v>101</v>
      </c>
      <c r="G86" s="5" t="s">
        <v>51</v>
      </c>
      <c r="H86" s="18">
        <f t="shared" ref="H86:AA86" si="7">H30-H58</f>
        <v>26</v>
      </c>
      <c r="I86" s="18">
        <f t="shared" si="7"/>
        <v>2</v>
      </c>
      <c r="J86" s="18">
        <f t="shared" si="7"/>
        <v>0</v>
      </c>
      <c r="K86" s="18">
        <f t="shared" si="7"/>
        <v>0</v>
      </c>
      <c r="L86" s="18">
        <f t="shared" si="7"/>
        <v>0</v>
      </c>
      <c r="M86" s="18">
        <f t="shared" si="7"/>
        <v>87</v>
      </c>
      <c r="N86" s="18">
        <f t="shared" si="7"/>
        <v>0</v>
      </c>
      <c r="O86" s="18">
        <f t="shared" si="7"/>
        <v>0</v>
      </c>
      <c r="P86" s="18">
        <f t="shared" si="7"/>
        <v>0</v>
      </c>
      <c r="Q86" s="18">
        <f t="shared" si="7"/>
        <v>0</v>
      </c>
      <c r="R86" s="18">
        <f t="shared" si="7"/>
        <v>0</v>
      </c>
      <c r="S86" s="18">
        <f t="shared" si="7"/>
        <v>0</v>
      </c>
      <c r="T86" s="18">
        <f t="shared" si="7"/>
        <v>0</v>
      </c>
      <c r="U86" s="18">
        <f t="shared" si="7"/>
        <v>0</v>
      </c>
      <c r="V86" s="18">
        <f t="shared" si="7"/>
        <v>0</v>
      </c>
      <c r="W86" s="18">
        <f t="shared" si="7"/>
        <v>0</v>
      </c>
      <c r="X86" s="18">
        <f t="shared" si="7"/>
        <v>0</v>
      </c>
      <c r="Y86" s="18">
        <f t="shared" si="7"/>
        <v>0</v>
      </c>
      <c r="Z86" s="18">
        <f t="shared" si="7"/>
        <v>0</v>
      </c>
      <c r="AA86" s="18">
        <f t="shared" si="7"/>
        <v>0</v>
      </c>
    </row>
    <row r="87" spans="1:27" x14ac:dyDescent="0.3">
      <c r="A87">
        <v>4</v>
      </c>
      <c r="B87" t="s">
        <v>131</v>
      </c>
      <c r="C87" t="s">
        <v>102</v>
      </c>
      <c r="G87" s="5" t="s">
        <v>53</v>
      </c>
      <c r="H87" s="18">
        <f t="shared" ref="H87:AA87" si="8">H31-H59</f>
        <v>-51</v>
      </c>
      <c r="I87" s="18">
        <f t="shared" si="8"/>
        <v>-45</v>
      </c>
      <c r="J87" s="18">
        <f t="shared" si="8"/>
        <v>0</v>
      </c>
      <c r="K87" s="18">
        <f t="shared" si="8"/>
        <v>0</v>
      </c>
      <c r="L87" s="18">
        <f t="shared" si="8"/>
        <v>0</v>
      </c>
      <c r="M87" s="18">
        <f t="shared" si="8"/>
        <v>10</v>
      </c>
      <c r="N87" s="18">
        <f t="shared" si="8"/>
        <v>0</v>
      </c>
      <c r="O87" s="18">
        <f t="shared" si="8"/>
        <v>0</v>
      </c>
      <c r="P87" s="18">
        <f t="shared" si="8"/>
        <v>0</v>
      </c>
      <c r="Q87" s="18">
        <f t="shared" si="8"/>
        <v>0</v>
      </c>
      <c r="R87" s="18">
        <f t="shared" si="8"/>
        <v>0</v>
      </c>
      <c r="S87" s="18">
        <f t="shared" si="8"/>
        <v>0</v>
      </c>
      <c r="T87" s="18">
        <f t="shared" si="8"/>
        <v>0</v>
      </c>
      <c r="U87" s="18">
        <f t="shared" si="8"/>
        <v>0</v>
      </c>
      <c r="V87" s="18">
        <f t="shared" si="8"/>
        <v>0</v>
      </c>
      <c r="W87" s="18">
        <f t="shared" si="8"/>
        <v>0</v>
      </c>
      <c r="X87" s="18">
        <f t="shared" si="8"/>
        <v>0</v>
      </c>
      <c r="Y87" s="18">
        <f t="shared" si="8"/>
        <v>0</v>
      </c>
      <c r="Z87" s="18">
        <f t="shared" si="8"/>
        <v>0</v>
      </c>
      <c r="AA87" s="18">
        <f t="shared" si="8"/>
        <v>0</v>
      </c>
    </row>
    <row r="88" spans="1:27" x14ac:dyDescent="0.3">
      <c r="A88">
        <v>5</v>
      </c>
      <c r="B88" t="s">
        <v>130</v>
      </c>
      <c r="C88" t="s">
        <v>83</v>
      </c>
      <c r="G88" s="5" t="s">
        <v>54</v>
      </c>
      <c r="H88" s="18">
        <f t="shared" ref="H88:AA88" si="9">H32-H60</f>
        <v>-54</v>
      </c>
      <c r="I88" s="18">
        <f t="shared" si="9"/>
        <v>-56</v>
      </c>
      <c r="J88" s="18">
        <f t="shared" si="9"/>
        <v>0</v>
      </c>
      <c r="K88" s="18">
        <f t="shared" si="9"/>
        <v>0</v>
      </c>
      <c r="L88" s="18">
        <f t="shared" si="9"/>
        <v>0</v>
      </c>
      <c r="M88" s="18">
        <f t="shared" si="9"/>
        <v>1</v>
      </c>
      <c r="N88" s="18">
        <f t="shared" si="9"/>
        <v>0</v>
      </c>
      <c r="O88" s="18">
        <f t="shared" si="9"/>
        <v>0</v>
      </c>
      <c r="P88" s="18">
        <f t="shared" si="9"/>
        <v>0</v>
      </c>
      <c r="Q88" s="18">
        <f t="shared" si="9"/>
        <v>0</v>
      </c>
      <c r="R88" s="18">
        <f t="shared" si="9"/>
        <v>0</v>
      </c>
      <c r="S88" s="18">
        <f t="shared" si="9"/>
        <v>0</v>
      </c>
      <c r="T88" s="18">
        <f t="shared" si="9"/>
        <v>0</v>
      </c>
      <c r="U88" s="18">
        <f t="shared" si="9"/>
        <v>0</v>
      </c>
      <c r="V88" s="18">
        <f t="shared" si="9"/>
        <v>0</v>
      </c>
      <c r="W88" s="18">
        <f t="shared" si="9"/>
        <v>0</v>
      </c>
      <c r="X88" s="18">
        <f t="shared" si="9"/>
        <v>0</v>
      </c>
      <c r="Y88" s="18">
        <f t="shared" si="9"/>
        <v>0</v>
      </c>
      <c r="Z88" s="18">
        <f t="shared" si="9"/>
        <v>0</v>
      </c>
      <c r="AA88" s="18">
        <f t="shared" si="9"/>
        <v>0</v>
      </c>
    </row>
    <row r="89" spans="1:27" x14ac:dyDescent="0.3">
      <c r="A89">
        <v>5</v>
      </c>
      <c r="B89" t="s">
        <v>131</v>
      </c>
      <c r="C89" t="s">
        <v>100</v>
      </c>
      <c r="G89" s="29" t="s">
        <v>44</v>
      </c>
      <c r="H89" s="30">
        <f>SUM(H79:H86)</f>
        <v>183</v>
      </c>
      <c r="I89" s="30">
        <f t="shared" ref="I89:AA89" si="10">SUM(I79:I86)</f>
        <v>180</v>
      </c>
      <c r="J89" s="30">
        <f t="shared" si="10"/>
        <v>0</v>
      </c>
      <c r="K89" s="30">
        <f t="shared" si="10"/>
        <v>0</v>
      </c>
      <c r="L89" s="30">
        <f t="shared" si="10"/>
        <v>0</v>
      </c>
      <c r="M89" s="30">
        <f t="shared" si="10"/>
        <v>638</v>
      </c>
      <c r="N89" s="30">
        <f t="shared" si="10"/>
        <v>0</v>
      </c>
      <c r="O89" s="30">
        <f t="shared" si="10"/>
        <v>0</v>
      </c>
      <c r="P89" s="30">
        <f t="shared" si="10"/>
        <v>0</v>
      </c>
      <c r="Q89" s="30">
        <f t="shared" si="10"/>
        <v>0</v>
      </c>
      <c r="R89" s="30">
        <f t="shared" si="10"/>
        <v>0</v>
      </c>
      <c r="S89" s="30">
        <f t="shared" si="10"/>
        <v>0</v>
      </c>
      <c r="T89" s="30">
        <f t="shared" si="10"/>
        <v>0</v>
      </c>
      <c r="U89" s="30">
        <f t="shared" si="10"/>
        <v>0</v>
      </c>
      <c r="V89" s="30">
        <f t="shared" si="10"/>
        <v>0</v>
      </c>
      <c r="W89" s="30">
        <f t="shared" si="10"/>
        <v>0</v>
      </c>
      <c r="X89" s="30">
        <f t="shared" si="10"/>
        <v>0</v>
      </c>
      <c r="Y89" s="30">
        <f t="shared" si="10"/>
        <v>0</v>
      </c>
      <c r="Z89" s="30">
        <f t="shared" si="10"/>
        <v>0</v>
      </c>
      <c r="AA89" s="30">
        <f t="shared" si="10"/>
        <v>0</v>
      </c>
    </row>
    <row r="90" spans="1:27" x14ac:dyDescent="0.3">
      <c r="A90">
        <v>5</v>
      </c>
      <c r="B90" t="s">
        <v>131</v>
      </c>
      <c r="C90" t="s">
        <v>101</v>
      </c>
    </row>
    <row r="91" spans="1:27" x14ac:dyDescent="0.3">
      <c r="A91">
        <v>5</v>
      </c>
      <c r="B91" t="s">
        <v>131</v>
      </c>
      <c r="C91" t="s">
        <v>102</v>
      </c>
    </row>
    <row r="92" spans="1:27" x14ac:dyDescent="0.3">
      <c r="A92">
        <v>6</v>
      </c>
      <c r="B92" t="s">
        <v>130</v>
      </c>
      <c r="C92" t="s">
        <v>83</v>
      </c>
    </row>
    <row r="93" spans="1:27" x14ac:dyDescent="0.3">
      <c r="A93">
        <v>6</v>
      </c>
      <c r="B93" t="s">
        <v>130</v>
      </c>
      <c r="C93" t="s">
        <v>84</v>
      </c>
    </row>
    <row r="94" spans="1:27" x14ac:dyDescent="0.3">
      <c r="A94">
        <v>6</v>
      </c>
      <c r="B94" t="s">
        <v>130</v>
      </c>
      <c r="C94" t="s">
        <v>85</v>
      </c>
    </row>
    <row r="95" spans="1:27" x14ac:dyDescent="0.3">
      <c r="A95">
        <v>6</v>
      </c>
      <c r="B95" t="s">
        <v>130</v>
      </c>
      <c r="C95" t="s">
        <v>86</v>
      </c>
    </row>
    <row r="96" spans="1:27" x14ac:dyDescent="0.3">
      <c r="A96">
        <v>6</v>
      </c>
      <c r="B96" t="s">
        <v>130</v>
      </c>
      <c r="C96" t="s">
        <v>87</v>
      </c>
    </row>
    <row r="97" spans="1:3" x14ac:dyDescent="0.3">
      <c r="A97">
        <v>6</v>
      </c>
      <c r="B97" t="s">
        <v>130</v>
      </c>
      <c r="C97" t="s">
        <v>88</v>
      </c>
    </row>
    <row r="98" spans="1:3" x14ac:dyDescent="0.3">
      <c r="A98">
        <v>6</v>
      </c>
      <c r="B98" t="s">
        <v>130</v>
      </c>
      <c r="C98" t="s">
        <v>89</v>
      </c>
    </row>
    <row r="99" spans="1:3" x14ac:dyDescent="0.3">
      <c r="A99">
        <v>6</v>
      </c>
      <c r="B99" t="s">
        <v>130</v>
      </c>
      <c r="C99" t="s">
        <v>90</v>
      </c>
    </row>
    <row r="100" spans="1:3" x14ac:dyDescent="0.3">
      <c r="A100">
        <v>6</v>
      </c>
      <c r="B100" t="s">
        <v>130</v>
      </c>
      <c r="C100" t="s">
        <v>91</v>
      </c>
    </row>
    <row r="101" spans="1:3" x14ac:dyDescent="0.3">
      <c r="A101">
        <v>6</v>
      </c>
      <c r="B101" t="s">
        <v>130</v>
      </c>
      <c r="C101" t="s">
        <v>92</v>
      </c>
    </row>
    <row r="102" spans="1:3" x14ac:dyDescent="0.3">
      <c r="A102">
        <v>6</v>
      </c>
      <c r="B102" t="s">
        <v>130</v>
      </c>
      <c r="C102" t="s">
        <v>93</v>
      </c>
    </row>
    <row r="103" spans="1:3" x14ac:dyDescent="0.3">
      <c r="A103">
        <v>6</v>
      </c>
      <c r="B103" t="s">
        <v>130</v>
      </c>
      <c r="C103" t="s">
        <v>94</v>
      </c>
    </row>
    <row r="104" spans="1:3" x14ac:dyDescent="0.3">
      <c r="A104">
        <v>6</v>
      </c>
      <c r="B104" t="s">
        <v>131</v>
      </c>
      <c r="C104" t="s">
        <v>95</v>
      </c>
    </row>
    <row r="105" spans="1:3" x14ac:dyDescent="0.3">
      <c r="A105">
        <v>6</v>
      </c>
      <c r="B105" t="s">
        <v>131</v>
      </c>
      <c r="C105" t="s">
        <v>96</v>
      </c>
    </row>
    <row r="106" spans="1:3" x14ac:dyDescent="0.3">
      <c r="A106">
        <v>6</v>
      </c>
      <c r="B106" t="s">
        <v>131</v>
      </c>
      <c r="C106" t="s">
        <v>97</v>
      </c>
    </row>
    <row r="107" spans="1:3" x14ac:dyDescent="0.3">
      <c r="A107">
        <v>6</v>
      </c>
      <c r="B107" t="s">
        <v>131</v>
      </c>
      <c r="C107" t="s">
        <v>98</v>
      </c>
    </row>
    <row r="108" spans="1:3" x14ac:dyDescent="0.3">
      <c r="A108">
        <v>6</v>
      </c>
      <c r="B108" t="s">
        <v>131</v>
      </c>
      <c r="C108" t="s">
        <v>99</v>
      </c>
    </row>
    <row r="109" spans="1:3" x14ac:dyDescent="0.3">
      <c r="A109">
        <v>6</v>
      </c>
      <c r="B109" t="s">
        <v>131</v>
      </c>
      <c r="C109" t="s">
        <v>100</v>
      </c>
    </row>
    <row r="110" spans="1:3" x14ac:dyDescent="0.3">
      <c r="A110">
        <v>6</v>
      </c>
      <c r="B110" t="s">
        <v>131</v>
      </c>
      <c r="C110" t="s">
        <v>101</v>
      </c>
    </row>
    <row r="111" spans="1:3" x14ac:dyDescent="0.3">
      <c r="A111">
        <v>6</v>
      </c>
      <c r="B111" t="s">
        <v>131</v>
      </c>
      <c r="C111" t="s">
        <v>102</v>
      </c>
    </row>
    <row r="112" spans="1:3" x14ac:dyDescent="0.3">
      <c r="A112">
        <v>7</v>
      </c>
      <c r="B112" t="s">
        <v>130</v>
      </c>
      <c r="C112" t="s">
        <v>83</v>
      </c>
    </row>
    <row r="113" spans="1:3" x14ac:dyDescent="0.3">
      <c r="A113">
        <v>7</v>
      </c>
      <c r="B113" t="s">
        <v>130</v>
      </c>
      <c r="C113" t="s">
        <v>84</v>
      </c>
    </row>
    <row r="114" spans="1:3" x14ac:dyDescent="0.3">
      <c r="A114">
        <v>7</v>
      </c>
      <c r="B114" t="s">
        <v>130</v>
      </c>
      <c r="C114" t="s">
        <v>85</v>
      </c>
    </row>
    <row r="115" spans="1:3" x14ac:dyDescent="0.3">
      <c r="A115">
        <v>7</v>
      </c>
      <c r="B115" t="s">
        <v>130</v>
      </c>
      <c r="C115" t="s">
        <v>86</v>
      </c>
    </row>
    <row r="116" spans="1:3" x14ac:dyDescent="0.3">
      <c r="A116">
        <v>7</v>
      </c>
      <c r="B116" t="s">
        <v>130</v>
      </c>
      <c r="C116" t="s">
        <v>87</v>
      </c>
    </row>
    <row r="117" spans="1:3" x14ac:dyDescent="0.3">
      <c r="A117">
        <v>7</v>
      </c>
      <c r="B117" t="s">
        <v>130</v>
      </c>
      <c r="C117" t="s">
        <v>88</v>
      </c>
    </row>
    <row r="118" spans="1:3" x14ac:dyDescent="0.3">
      <c r="A118">
        <v>7</v>
      </c>
      <c r="B118" t="s">
        <v>130</v>
      </c>
      <c r="C118" t="s">
        <v>89</v>
      </c>
    </row>
    <row r="119" spans="1:3" x14ac:dyDescent="0.3">
      <c r="A119">
        <v>7</v>
      </c>
      <c r="B119" t="s">
        <v>130</v>
      </c>
      <c r="C119" t="s">
        <v>90</v>
      </c>
    </row>
    <row r="120" spans="1:3" x14ac:dyDescent="0.3">
      <c r="A120">
        <v>7</v>
      </c>
      <c r="B120" t="s">
        <v>130</v>
      </c>
      <c r="C120" t="s">
        <v>91</v>
      </c>
    </row>
    <row r="121" spans="1:3" x14ac:dyDescent="0.3">
      <c r="A121">
        <v>7</v>
      </c>
      <c r="B121" t="s">
        <v>130</v>
      </c>
      <c r="C121" t="s">
        <v>92</v>
      </c>
    </row>
    <row r="122" spans="1:3" x14ac:dyDescent="0.3">
      <c r="A122">
        <v>7</v>
      </c>
      <c r="B122" t="s">
        <v>130</v>
      </c>
      <c r="C122" t="s">
        <v>93</v>
      </c>
    </row>
    <row r="123" spans="1:3" x14ac:dyDescent="0.3">
      <c r="A123">
        <v>7</v>
      </c>
      <c r="B123" t="s">
        <v>130</v>
      </c>
      <c r="C123" t="s">
        <v>94</v>
      </c>
    </row>
    <row r="124" spans="1:3" x14ac:dyDescent="0.3">
      <c r="A124">
        <v>7</v>
      </c>
      <c r="B124" t="s">
        <v>131</v>
      </c>
      <c r="C124" t="s">
        <v>95</v>
      </c>
    </row>
    <row r="125" spans="1:3" x14ac:dyDescent="0.3">
      <c r="A125">
        <v>7</v>
      </c>
      <c r="B125" t="s">
        <v>131</v>
      </c>
      <c r="C125" t="s">
        <v>96</v>
      </c>
    </row>
    <row r="126" spans="1:3" x14ac:dyDescent="0.3">
      <c r="A126">
        <v>7</v>
      </c>
      <c r="B126" t="s">
        <v>131</v>
      </c>
      <c r="C126" t="s">
        <v>97</v>
      </c>
    </row>
    <row r="127" spans="1:3" x14ac:dyDescent="0.3">
      <c r="A127">
        <v>7</v>
      </c>
      <c r="B127" t="s">
        <v>131</v>
      </c>
      <c r="C127" t="s">
        <v>98</v>
      </c>
    </row>
    <row r="128" spans="1:3" x14ac:dyDescent="0.3">
      <c r="A128">
        <v>7</v>
      </c>
      <c r="B128" t="s">
        <v>131</v>
      </c>
      <c r="C128" t="s">
        <v>99</v>
      </c>
    </row>
    <row r="129" spans="1:3" x14ac:dyDescent="0.3">
      <c r="A129">
        <v>7</v>
      </c>
      <c r="B129" t="s">
        <v>131</v>
      </c>
      <c r="C129" t="s">
        <v>100</v>
      </c>
    </row>
    <row r="130" spans="1:3" x14ac:dyDescent="0.3">
      <c r="A130">
        <v>7</v>
      </c>
      <c r="B130" t="s">
        <v>131</v>
      </c>
      <c r="C130" t="s">
        <v>101</v>
      </c>
    </row>
    <row r="131" spans="1:3" x14ac:dyDescent="0.3">
      <c r="A131">
        <v>7</v>
      </c>
      <c r="B131" t="s">
        <v>131</v>
      </c>
      <c r="C131" t="s">
        <v>102</v>
      </c>
    </row>
  </sheetData>
  <mergeCells count="19">
    <mergeCell ref="Q4:R4"/>
    <mergeCell ref="Q5:R5"/>
    <mergeCell ref="H16:J16"/>
    <mergeCell ref="H17:J17"/>
    <mergeCell ref="H18:J18"/>
    <mergeCell ref="H4:J4"/>
    <mergeCell ref="H5:J5"/>
    <mergeCell ref="H6:J6"/>
    <mergeCell ref="H7:J7"/>
    <mergeCell ref="H8:J8"/>
    <mergeCell ref="H9:J9"/>
    <mergeCell ref="H19:J19"/>
    <mergeCell ref="H20:J20"/>
    <mergeCell ref="H10:J10"/>
    <mergeCell ref="H11:J11"/>
    <mergeCell ref="H12:J12"/>
    <mergeCell ref="H13:J13"/>
    <mergeCell ref="H14:J14"/>
    <mergeCell ref="H15:J1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503E-268B-4655-9F64-E1244F324E94}">
  <sheetPr codeName="Sheet2"/>
  <dimension ref="B1:P77"/>
  <sheetViews>
    <sheetView topLeftCell="A13" zoomScale="87" workbookViewId="0">
      <selection activeCell="F42" sqref="F42"/>
    </sheetView>
  </sheetViews>
  <sheetFormatPr defaultRowHeight="14.4" x14ac:dyDescent="0.3"/>
  <cols>
    <col min="2" max="2" width="14.5546875" bestFit="1" customWidth="1"/>
    <col min="4" max="4" width="10.88671875" bestFit="1" customWidth="1"/>
    <col min="5" max="5" width="9.33203125" bestFit="1" customWidth="1"/>
    <col min="6" max="6" width="9.33203125" customWidth="1"/>
    <col min="7" max="7" width="8.6640625" customWidth="1"/>
    <col min="10" max="10" width="8.88671875" customWidth="1"/>
    <col min="13" max="13" width="39.6640625" customWidth="1"/>
    <col min="14" max="14" width="5.6640625" bestFit="1" customWidth="1"/>
    <col min="15" max="15" width="4.33203125" bestFit="1" customWidth="1"/>
  </cols>
  <sheetData>
    <row r="1" spans="2:16" x14ac:dyDescent="0.3">
      <c r="B1" t="s">
        <v>148</v>
      </c>
    </row>
    <row r="2" spans="2:16" x14ac:dyDescent="0.3">
      <c r="B2">
        <v>6</v>
      </c>
    </row>
    <row r="4" spans="2:16" x14ac:dyDescent="0.3">
      <c r="D4" s="6" t="s">
        <v>39</v>
      </c>
      <c r="E4" s="6" t="s">
        <v>40</v>
      </c>
      <c r="F4" s="6" t="s">
        <v>41</v>
      </c>
      <c r="G4" s="6" t="s">
        <v>42</v>
      </c>
      <c r="H4" s="6" t="s">
        <v>43</v>
      </c>
      <c r="I4" s="6" t="s">
        <v>44</v>
      </c>
      <c r="M4" s="35" t="s">
        <v>58</v>
      </c>
      <c r="N4" s="36"/>
      <c r="O4" s="8">
        <f>SUM(I5:I12)</f>
        <v>638</v>
      </c>
    </row>
    <row r="5" spans="2:16" x14ac:dyDescent="0.3">
      <c r="D5" s="5" t="s">
        <v>45</v>
      </c>
      <c r="E5" s="5">
        <v>73</v>
      </c>
      <c r="F5" s="5"/>
      <c r="G5" s="5"/>
      <c r="H5" s="5"/>
      <c r="I5" s="5">
        <f t="shared" ref="I5:I14" si="0">(E5+F5-G5-H5)</f>
        <v>73</v>
      </c>
      <c r="M5" s="35" t="s">
        <v>59</v>
      </c>
      <c r="N5" s="36"/>
      <c r="O5" s="8">
        <f>I13</f>
        <v>10</v>
      </c>
    </row>
    <row r="6" spans="2:16" x14ac:dyDescent="0.3">
      <c r="D6" s="5" t="s">
        <v>46</v>
      </c>
      <c r="E6" s="5">
        <v>55</v>
      </c>
      <c r="F6" s="5"/>
      <c r="G6" s="5"/>
      <c r="H6" s="5"/>
      <c r="I6" s="5">
        <f t="shared" si="0"/>
        <v>55</v>
      </c>
    </row>
    <row r="7" spans="2:16" x14ac:dyDescent="0.3">
      <c r="D7" s="5" t="s">
        <v>52</v>
      </c>
      <c r="E7" s="5">
        <v>75</v>
      </c>
      <c r="F7" s="5"/>
      <c r="G7" s="5"/>
      <c r="H7" s="5"/>
      <c r="I7" s="5">
        <f t="shared" si="0"/>
        <v>75</v>
      </c>
      <c r="M7" s="7" t="s">
        <v>60</v>
      </c>
      <c r="N7" s="7" t="s">
        <v>61</v>
      </c>
      <c r="O7" s="7" t="s">
        <v>62</v>
      </c>
      <c r="P7" s="7" t="s">
        <v>63</v>
      </c>
    </row>
    <row r="8" spans="2:16" x14ac:dyDescent="0.3">
      <c r="D8" s="5" t="s">
        <v>47</v>
      </c>
      <c r="E8" s="5">
        <v>80</v>
      </c>
      <c r="F8" s="5"/>
      <c r="G8" s="5"/>
      <c r="H8" s="5"/>
      <c r="I8" s="5">
        <f t="shared" si="0"/>
        <v>80</v>
      </c>
      <c r="M8" s="8">
        <f>N8+O8+P8</f>
        <v>20</v>
      </c>
      <c r="N8" s="8">
        <f>SUMIFS($F$17:$F$200,$G$17:$G$200,N7)</f>
        <v>20</v>
      </c>
      <c r="O8" s="8">
        <f t="shared" ref="O8:P8" si="1">SUMIFS($F$17:$F$200,$G$17:$G$200,O7)</f>
        <v>0</v>
      </c>
      <c r="P8" s="8">
        <f t="shared" si="1"/>
        <v>0</v>
      </c>
    </row>
    <row r="9" spans="2:16" x14ac:dyDescent="0.3">
      <c r="D9" s="5" t="s">
        <v>48</v>
      </c>
      <c r="E9" s="5">
        <v>99</v>
      </c>
      <c r="F9" s="5"/>
      <c r="G9" s="5"/>
      <c r="H9" s="5"/>
      <c r="I9" s="5">
        <f t="shared" si="0"/>
        <v>99</v>
      </c>
    </row>
    <row r="10" spans="2:16" x14ac:dyDescent="0.3">
      <c r="D10" s="5" t="s">
        <v>49</v>
      </c>
      <c r="E10" s="5">
        <v>93</v>
      </c>
      <c r="F10" s="5"/>
      <c r="G10" s="5"/>
      <c r="H10" s="5"/>
      <c r="I10" s="5">
        <f t="shared" si="0"/>
        <v>93</v>
      </c>
    </row>
    <row r="11" spans="2:16" x14ac:dyDescent="0.3">
      <c r="D11" s="5" t="s">
        <v>50</v>
      </c>
      <c r="E11" s="5">
        <v>76</v>
      </c>
      <c r="F11" s="5"/>
      <c r="G11" s="5"/>
      <c r="H11" s="5"/>
      <c r="I11" s="5">
        <f t="shared" si="0"/>
        <v>76</v>
      </c>
      <c r="M11" s="33" t="s">
        <v>146</v>
      </c>
      <c r="N11" s="34"/>
      <c r="O11" s="34"/>
      <c r="P11" s="14" t="s">
        <v>147</v>
      </c>
    </row>
    <row r="12" spans="2:16" x14ac:dyDescent="0.3">
      <c r="D12" s="5" t="s">
        <v>51</v>
      </c>
      <c r="E12" s="5">
        <v>87</v>
      </c>
      <c r="F12" s="5"/>
      <c r="G12" s="5"/>
      <c r="H12" s="5"/>
      <c r="I12" s="5">
        <f t="shared" si="0"/>
        <v>87</v>
      </c>
      <c r="M12" s="39" t="s">
        <v>70</v>
      </c>
      <c r="N12" s="40"/>
      <c r="O12" s="40"/>
      <c r="P12" s="14">
        <v>6</v>
      </c>
    </row>
    <row r="13" spans="2:16" x14ac:dyDescent="0.3">
      <c r="D13" s="5" t="s">
        <v>53</v>
      </c>
      <c r="E13" s="5">
        <v>10</v>
      </c>
      <c r="F13" s="5"/>
      <c r="G13" s="5"/>
      <c r="H13" s="5"/>
      <c r="I13" s="5">
        <f t="shared" si="0"/>
        <v>10</v>
      </c>
      <c r="M13" s="20" t="s">
        <v>64</v>
      </c>
      <c r="N13" s="13"/>
      <c r="O13" s="13"/>
      <c r="P13" s="14">
        <v>1</v>
      </c>
    </row>
    <row r="14" spans="2:16" x14ac:dyDescent="0.3">
      <c r="D14" s="5" t="s">
        <v>54</v>
      </c>
      <c r="E14" s="5">
        <v>1</v>
      </c>
      <c r="F14" s="5"/>
      <c r="G14" s="5"/>
      <c r="H14" s="5"/>
      <c r="I14" s="5">
        <f t="shared" si="0"/>
        <v>1</v>
      </c>
      <c r="M14" s="20" t="s">
        <v>65</v>
      </c>
      <c r="N14" s="13"/>
      <c r="O14" s="13"/>
      <c r="P14" s="14">
        <v>2</v>
      </c>
    </row>
    <row r="15" spans="2:16" x14ac:dyDescent="0.3">
      <c r="M15" s="20" t="s">
        <v>66</v>
      </c>
      <c r="N15" s="12"/>
      <c r="O15" s="12"/>
      <c r="P15" s="14">
        <v>3</v>
      </c>
    </row>
    <row r="16" spans="2:16" x14ac:dyDescent="0.3">
      <c r="D16" s="7" t="s">
        <v>55</v>
      </c>
      <c r="E16" s="7" t="s">
        <v>149</v>
      </c>
      <c r="F16" s="7" t="s">
        <v>56</v>
      </c>
      <c r="G16" s="24" t="s">
        <v>57</v>
      </c>
      <c r="H16" s="14"/>
      <c r="M16" s="20" t="s">
        <v>67</v>
      </c>
      <c r="N16" s="12"/>
      <c r="O16" s="12"/>
      <c r="P16" s="14">
        <v>15</v>
      </c>
    </row>
    <row r="17" spans="4:16" x14ac:dyDescent="0.3">
      <c r="D17" s="5">
        <v>1</v>
      </c>
      <c r="E17" s="5">
        <v>1</v>
      </c>
      <c r="F17" s="5">
        <v>20</v>
      </c>
      <c r="G17" s="22" t="s">
        <v>61</v>
      </c>
      <c r="H17" s="23"/>
      <c r="M17" s="20" t="s">
        <v>68</v>
      </c>
      <c r="N17" s="12"/>
      <c r="O17" s="12"/>
      <c r="P17" s="14">
        <v>2</v>
      </c>
    </row>
    <row r="18" spans="4:16" x14ac:dyDescent="0.3">
      <c r="D18" s="5">
        <v>2</v>
      </c>
      <c r="E18" s="5">
        <v>4</v>
      </c>
      <c r="F18" s="5">
        <v>45</v>
      </c>
      <c r="G18" s="22"/>
      <c r="H18" s="23"/>
      <c r="M18" s="20" t="s">
        <v>69</v>
      </c>
      <c r="N18" s="12"/>
      <c r="O18" s="12"/>
      <c r="P18" s="14">
        <v>1</v>
      </c>
    </row>
    <row r="19" spans="4:16" x14ac:dyDescent="0.3">
      <c r="D19" s="5">
        <v>3</v>
      </c>
      <c r="E19" s="5">
        <v>4</v>
      </c>
      <c r="F19" s="5">
        <v>45</v>
      </c>
      <c r="G19" s="22"/>
      <c r="H19" s="23"/>
      <c r="M19" s="20" t="s">
        <v>71</v>
      </c>
      <c r="N19" s="12"/>
      <c r="O19" s="12"/>
      <c r="P19" s="14">
        <v>5</v>
      </c>
    </row>
    <row r="20" spans="4:16" x14ac:dyDescent="0.3">
      <c r="D20" s="5">
        <v>4</v>
      </c>
      <c r="E20" s="5">
        <v>4</v>
      </c>
      <c r="F20" s="5">
        <v>45</v>
      </c>
      <c r="G20" s="22"/>
      <c r="H20" s="23"/>
      <c r="M20" s="20" t="s">
        <v>72</v>
      </c>
      <c r="N20" s="12"/>
      <c r="O20" s="12"/>
      <c r="P20" s="14">
        <v>1</v>
      </c>
    </row>
    <row r="21" spans="4:16" x14ac:dyDescent="0.3">
      <c r="D21" s="5">
        <v>5</v>
      </c>
      <c r="E21" s="5">
        <v>4</v>
      </c>
      <c r="F21" s="5">
        <v>45</v>
      </c>
      <c r="G21" s="22"/>
      <c r="H21" s="23"/>
      <c r="M21" s="20" t="s">
        <v>73</v>
      </c>
      <c r="N21" s="12"/>
      <c r="O21" s="12"/>
      <c r="P21" s="14">
        <v>7</v>
      </c>
    </row>
    <row r="22" spans="4:16" x14ac:dyDescent="0.3">
      <c r="D22" s="5">
        <v>6</v>
      </c>
      <c r="E22" s="5">
        <v>1</v>
      </c>
      <c r="F22" s="5">
        <v>20</v>
      </c>
      <c r="G22" s="22"/>
      <c r="H22" s="23"/>
      <c r="M22" s="20" t="s">
        <v>74</v>
      </c>
      <c r="N22" s="12"/>
      <c r="O22" s="12"/>
      <c r="P22" s="14">
        <v>1</v>
      </c>
    </row>
    <row r="23" spans="4:16" x14ac:dyDescent="0.3">
      <c r="D23" s="5">
        <v>7</v>
      </c>
      <c r="E23" s="5">
        <v>4</v>
      </c>
      <c r="F23" s="5">
        <v>45</v>
      </c>
      <c r="G23" s="22"/>
      <c r="H23" s="23"/>
      <c r="M23" s="20" t="s">
        <v>75</v>
      </c>
      <c r="N23" s="12"/>
      <c r="O23" s="12"/>
      <c r="P23" s="14">
        <v>1</v>
      </c>
    </row>
    <row r="24" spans="4:16" x14ac:dyDescent="0.3">
      <c r="D24" s="5">
        <v>8</v>
      </c>
      <c r="E24" s="5">
        <v>4</v>
      </c>
      <c r="F24" s="5">
        <v>45</v>
      </c>
      <c r="G24" s="22"/>
      <c r="H24" s="23"/>
      <c r="M24" s="20" t="s">
        <v>76</v>
      </c>
      <c r="N24" s="12"/>
      <c r="O24" s="12"/>
      <c r="P24" s="14">
        <v>1</v>
      </c>
    </row>
    <row r="25" spans="4:16" x14ac:dyDescent="0.3">
      <c r="D25" s="5">
        <v>9</v>
      </c>
      <c r="E25" s="5">
        <v>7</v>
      </c>
      <c r="F25" s="5">
        <v>75</v>
      </c>
      <c r="G25" s="22"/>
      <c r="H25" s="23"/>
      <c r="M25" s="20" t="s">
        <v>77</v>
      </c>
      <c r="N25" s="12"/>
      <c r="O25" s="12"/>
      <c r="P25" s="14">
        <v>1</v>
      </c>
    </row>
    <row r="26" spans="4:16" x14ac:dyDescent="0.3">
      <c r="D26" s="5">
        <v>10</v>
      </c>
      <c r="E26" s="5">
        <v>5</v>
      </c>
      <c r="F26" s="5">
        <v>55</v>
      </c>
      <c r="G26" s="22"/>
      <c r="H26" s="23"/>
      <c r="M26" s="20" t="s">
        <v>78</v>
      </c>
      <c r="N26" s="12"/>
      <c r="O26" s="12"/>
      <c r="P26" s="14">
        <v>1</v>
      </c>
    </row>
    <row r="27" spans="4:16" x14ac:dyDescent="0.3">
      <c r="D27" s="5">
        <v>11</v>
      </c>
      <c r="E27" s="5">
        <v>4</v>
      </c>
      <c r="F27" s="5">
        <v>45</v>
      </c>
      <c r="G27" s="22"/>
      <c r="H27" s="23"/>
      <c r="M27" s="20" t="s">
        <v>79</v>
      </c>
      <c r="N27" s="12"/>
      <c r="O27" s="12"/>
      <c r="P27" s="14">
        <v>1</v>
      </c>
    </row>
    <row r="28" spans="4:16" x14ac:dyDescent="0.3">
      <c r="D28" s="5">
        <v>12</v>
      </c>
      <c r="E28" s="5">
        <v>7</v>
      </c>
      <c r="F28" s="5">
        <v>75</v>
      </c>
      <c r="G28" s="22"/>
      <c r="H28" s="23"/>
      <c r="M28" s="21"/>
    </row>
    <row r="29" spans="4:16" x14ac:dyDescent="0.3">
      <c r="D29" s="5">
        <v>13</v>
      </c>
      <c r="E29" s="5">
        <v>4</v>
      </c>
      <c r="F29" s="5">
        <v>45</v>
      </c>
      <c r="G29" s="22"/>
      <c r="H29" s="23"/>
    </row>
    <row r="30" spans="4:16" x14ac:dyDescent="0.3">
      <c r="D30" s="5">
        <v>14</v>
      </c>
      <c r="E30" s="5"/>
      <c r="F30" s="5"/>
      <c r="G30" s="22"/>
      <c r="H30" s="23"/>
      <c r="M30" s="10" t="s">
        <v>133</v>
      </c>
      <c r="N30" s="10"/>
      <c r="O30" s="10"/>
      <c r="P30" s="10"/>
    </row>
    <row r="31" spans="4:16" x14ac:dyDescent="0.3">
      <c r="D31" s="5">
        <v>15</v>
      </c>
      <c r="E31" s="5"/>
      <c r="F31" s="5"/>
      <c r="G31" s="22"/>
      <c r="H31" s="23"/>
    </row>
    <row r="32" spans="4:16" x14ac:dyDescent="0.3">
      <c r="D32" s="5">
        <v>16</v>
      </c>
      <c r="E32" s="5"/>
      <c r="F32" s="5"/>
      <c r="G32" s="22"/>
      <c r="H32" s="23"/>
    </row>
    <row r="33" spans="4:8" x14ac:dyDescent="0.3">
      <c r="D33" s="5">
        <v>17</v>
      </c>
      <c r="E33" s="5"/>
      <c r="F33" s="5"/>
      <c r="G33" s="22"/>
      <c r="H33" s="23"/>
    </row>
    <row r="34" spans="4:8" x14ac:dyDescent="0.3">
      <c r="D34" s="5">
        <v>18</v>
      </c>
      <c r="E34" s="5"/>
      <c r="F34" s="5"/>
      <c r="G34" s="22"/>
      <c r="H34" s="23"/>
    </row>
    <row r="35" spans="4:8" x14ac:dyDescent="0.3">
      <c r="D35" s="5">
        <v>19</v>
      </c>
      <c r="E35" s="5"/>
      <c r="F35" s="5"/>
      <c r="G35" s="22"/>
      <c r="H35" s="23"/>
    </row>
    <row r="36" spans="4:8" x14ac:dyDescent="0.3">
      <c r="D36" s="5">
        <v>20</v>
      </c>
      <c r="E36" s="5"/>
      <c r="F36" s="5"/>
      <c r="G36" s="22"/>
      <c r="H36" s="23"/>
    </row>
    <row r="37" spans="4:8" x14ac:dyDescent="0.3">
      <c r="D37" s="5">
        <v>21</v>
      </c>
      <c r="E37" s="5"/>
      <c r="F37" s="5"/>
      <c r="G37" s="22"/>
      <c r="H37" s="23"/>
    </row>
    <row r="38" spans="4:8" x14ac:dyDescent="0.3">
      <c r="D38" s="5">
        <v>22</v>
      </c>
      <c r="E38" s="5"/>
      <c r="F38" s="5"/>
      <c r="G38" s="22"/>
      <c r="H38" s="23"/>
    </row>
    <row r="39" spans="4:8" x14ac:dyDescent="0.3">
      <c r="D39" s="5">
        <v>23</v>
      </c>
      <c r="E39" s="5"/>
      <c r="F39" s="5"/>
      <c r="G39" s="22"/>
      <c r="H39" s="23"/>
    </row>
    <row r="40" spans="4:8" x14ac:dyDescent="0.3">
      <c r="D40" s="5">
        <v>24</v>
      </c>
      <c r="E40" s="5"/>
      <c r="F40" s="5"/>
      <c r="G40" s="22"/>
      <c r="H40" s="23"/>
    </row>
    <row r="41" spans="4:8" x14ac:dyDescent="0.3">
      <c r="D41" s="25">
        <v>25</v>
      </c>
      <c r="E41" s="25"/>
      <c r="F41" s="25"/>
      <c r="G41" s="26"/>
      <c r="H41" s="26"/>
    </row>
    <row r="42" spans="4:8" x14ac:dyDescent="0.3">
      <c r="F42">
        <f>SUM(F17:F29)</f>
        <v>605</v>
      </c>
    </row>
    <row r="62" spans="8:13" x14ac:dyDescent="0.3">
      <c r="H62">
        <v>2</v>
      </c>
      <c r="M62">
        <v>0</v>
      </c>
    </row>
    <row r="63" spans="8:13" x14ac:dyDescent="0.3">
      <c r="H63">
        <v>2</v>
      </c>
      <c r="M63">
        <v>0</v>
      </c>
    </row>
    <row r="64" spans="8:13" x14ac:dyDescent="0.3">
      <c r="H64">
        <v>2</v>
      </c>
      <c r="M64">
        <v>0</v>
      </c>
    </row>
    <row r="65" spans="8:13" x14ac:dyDescent="0.3">
      <c r="H65">
        <v>10</v>
      </c>
      <c r="M65">
        <v>0</v>
      </c>
    </row>
    <row r="66" spans="8:13" x14ac:dyDescent="0.3">
      <c r="H66">
        <v>2</v>
      </c>
      <c r="M66">
        <v>0</v>
      </c>
    </row>
    <row r="67" spans="8:13" x14ac:dyDescent="0.3">
      <c r="H67">
        <v>1</v>
      </c>
      <c r="M67">
        <v>0</v>
      </c>
    </row>
    <row r="68" spans="8:13" x14ac:dyDescent="0.3">
      <c r="H68">
        <v>7</v>
      </c>
      <c r="M68">
        <v>0</v>
      </c>
    </row>
    <row r="69" spans="8:13" x14ac:dyDescent="0.3">
      <c r="H69">
        <v>1</v>
      </c>
      <c r="M69">
        <v>0</v>
      </c>
    </row>
    <row r="70" spans="8:13" x14ac:dyDescent="0.3">
      <c r="H70">
        <v>6</v>
      </c>
      <c r="M70">
        <v>0</v>
      </c>
    </row>
    <row r="71" spans="8:13" x14ac:dyDescent="0.3">
      <c r="H71">
        <v>1</v>
      </c>
      <c r="M71">
        <v>0</v>
      </c>
    </row>
    <row r="72" spans="8:13" x14ac:dyDescent="0.3">
      <c r="H72">
        <v>1</v>
      </c>
      <c r="M72">
        <v>0</v>
      </c>
    </row>
    <row r="73" spans="8:13" x14ac:dyDescent="0.3">
      <c r="H73">
        <v>1</v>
      </c>
      <c r="M73">
        <v>0</v>
      </c>
    </row>
    <row r="74" spans="8:13" x14ac:dyDescent="0.3">
      <c r="H74">
        <v>1</v>
      </c>
      <c r="M74">
        <v>0</v>
      </c>
    </row>
    <row r="75" spans="8:13" x14ac:dyDescent="0.3">
      <c r="H75">
        <v>1</v>
      </c>
      <c r="M75">
        <v>0</v>
      </c>
    </row>
    <row r="76" spans="8:13" x14ac:dyDescent="0.3">
      <c r="H76">
        <v>1</v>
      </c>
      <c r="M76">
        <v>0</v>
      </c>
    </row>
    <row r="77" spans="8:13" x14ac:dyDescent="0.3">
      <c r="H77">
        <v>0</v>
      </c>
      <c r="M77">
        <v>0</v>
      </c>
    </row>
  </sheetData>
  <mergeCells count="4">
    <mergeCell ref="M11:O11"/>
    <mergeCell ref="M12:O12"/>
    <mergeCell ref="M5:N5"/>
    <mergeCell ref="M4:N4"/>
  </mergeCells>
  <dataValidations count="3">
    <dataValidation type="list" showInputMessage="1" showErrorMessage="1" sqref="G17:G41" xr:uid="{AAB5BB31-747D-45FD-B08A-3CDDB1246F03}">
      <formula1>$N$7:$P$7</formula1>
    </dataValidation>
    <dataValidation showErrorMessage="1" promptTitle="Frame Seçiniz" prompt="Frame Seçiniz" sqref="E17:E41 E201:E1048576" xr:uid="{3ECDD5E7-B3A5-4B3F-B339-652F6E30F6B7}"/>
    <dataValidation showInputMessage="1" showErrorMessage="1" sqref="H17:H41" xr:uid="{608175B9-13F5-4097-B9C7-F9B9E5BA3FC5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0FCB47-50BF-4EC5-A7C4-3E401DFB3892}">
          <x14:formula1>
            <xm:f>database!$H$22:$AA$22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F1E96-4A2A-44FD-8D4C-130E76130821}">
  <sheetPr codeName="Sheet4"/>
  <dimension ref="A1:HM102"/>
  <sheetViews>
    <sheetView workbookViewId="0">
      <selection activeCell="S31" sqref="S31"/>
    </sheetView>
  </sheetViews>
  <sheetFormatPr defaultRowHeight="14.4" x14ac:dyDescent="0.3"/>
  <cols>
    <col min="5" max="5" width="14.6640625" bestFit="1" customWidth="1"/>
    <col min="8" max="8" width="8.44140625" bestFit="1" customWidth="1"/>
    <col min="9" max="9" width="11.33203125" bestFit="1" customWidth="1"/>
    <col min="10" max="10" width="7.6640625" bestFit="1" customWidth="1"/>
    <col min="12" max="12" width="9.88671875" bestFit="1" customWidth="1"/>
    <col min="13" max="13" width="7.6640625" bestFit="1" customWidth="1"/>
    <col min="14" max="14" width="9.6640625" bestFit="1" customWidth="1"/>
    <col min="15" max="15" width="12.33203125" bestFit="1" customWidth="1"/>
  </cols>
  <sheetData>
    <row r="1" spans="1:22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</row>
    <row r="2" spans="1:22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</row>
    <row r="3" spans="1:22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</row>
    <row r="4" spans="1:221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</row>
    <row r="5" spans="1:221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</row>
    <row r="6" spans="1:221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</row>
    <row r="7" spans="1:221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</row>
    <row r="8" spans="1:221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</row>
    <row r="9" spans="1:221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</row>
    <row r="10" spans="1:221" x14ac:dyDescent="0.3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</row>
    <row r="11" spans="1:221" ht="23.4" x14ac:dyDescent="0.3">
      <c r="A11" s="9"/>
      <c r="B11" s="9"/>
      <c r="C11" s="9"/>
      <c r="D11" s="9"/>
      <c r="E11" s="42" t="s">
        <v>144</v>
      </c>
      <c r="F11" s="43"/>
      <c r="G11" s="44"/>
      <c r="H11" s="11" t="s">
        <v>143</v>
      </c>
      <c r="I11" s="11" t="s">
        <v>39</v>
      </c>
      <c r="J11" s="11" t="s">
        <v>143</v>
      </c>
      <c r="K11" s="9"/>
      <c r="L11" s="9"/>
      <c r="M11" s="11" t="s">
        <v>145</v>
      </c>
      <c r="N11" s="11" t="s">
        <v>134</v>
      </c>
      <c r="O11" s="11" t="s">
        <v>135</v>
      </c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</row>
    <row r="12" spans="1:221" x14ac:dyDescent="0.3">
      <c r="A12" s="9"/>
      <c r="B12" s="9"/>
      <c r="C12" s="9"/>
      <c r="D12" s="9"/>
      <c r="E12" s="41" t="s">
        <v>70</v>
      </c>
      <c r="F12" s="41"/>
      <c r="G12" s="41"/>
      <c r="H12" s="8">
        <f>SUM(database!H61:AA61)</f>
        <v>137</v>
      </c>
      <c r="I12" s="8" t="s">
        <v>45</v>
      </c>
      <c r="J12" s="8">
        <v>2000</v>
      </c>
      <c r="K12" s="9"/>
      <c r="L12" s="15" t="s">
        <v>136</v>
      </c>
      <c r="M12" s="16">
        <f>SUM(database!H89:AA89)</f>
        <v>1001</v>
      </c>
      <c r="N12" s="16">
        <v>800</v>
      </c>
      <c r="O12" s="31">
        <f>M12/N12</f>
        <v>1.25125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</row>
    <row r="13" spans="1:221" x14ac:dyDescent="0.3">
      <c r="A13" s="9"/>
      <c r="B13" s="9"/>
      <c r="C13" s="9"/>
      <c r="D13" s="9"/>
      <c r="E13" s="41" t="s">
        <v>64</v>
      </c>
      <c r="F13" s="41"/>
      <c r="G13" s="41"/>
      <c r="H13" s="8">
        <v>1000</v>
      </c>
      <c r="I13" s="8" t="s">
        <v>46</v>
      </c>
      <c r="J13" s="8">
        <v>2000</v>
      </c>
      <c r="K13" s="9"/>
      <c r="L13" s="15" t="s">
        <v>137</v>
      </c>
      <c r="M13" s="16">
        <v>600</v>
      </c>
      <c r="N13" s="16">
        <v>700</v>
      </c>
      <c r="O13" s="31">
        <f t="shared" ref="O13:O18" si="0">M13/N13</f>
        <v>0.8571428571428571</v>
      </c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</row>
    <row r="14" spans="1:221" x14ac:dyDescent="0.3">
      <c r="A14" s="9"/>
      <c r="B14" s="9"/>
      <c r="C14" s="9"/>
      <c r="D14" s="9"/>
      <c r="E14" s="41" t="s">
        <v>65</v>
      </c>
      <c r="F14" s="41"/>
      <c r="G14" s="41"/>
      <c r="H14" s="8">
        <v>200</v>
      </c>
      <c r="I14" s="8" t="s">
        <v>52</v>
      </c>
      <c r="J14" s="8">
        <v>2000</v>
      </c>
      <c r="K14" s="9"/>
      <c r="L14" s="15" t="s">
        <v>138</v>
      </c>
      <c r="M14" s="16">
        <v>950</v>
      </c>
      <c r="N14" s="16">
        <v>900</v>
      </c>
      <c r="O14" s="31">
        <f t="shared" si="0"/>
        <v>1.0555555555555556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</row>
    <row r="15" spans="1:221" x14ac:dyDescent="0.3">
      <c r="A15" s="9"/>
      <c r="B15" s="9"/>
      <c r="C15" s="9"/>
      <c r="D15" s="9"/>
      <c r="E15" s="45" t="s">
        <v>66</v>
      </c>
      <c r="F15" s="45"/>
      <c r="G15" s="45"/>
      <c r="H15" s="8">
        <v>500</v>
      </c>
      <c r="I15" s="8" t="s">
        <v>47</v>
      </c>
      <c r="J15" s="8">
        <v>2000</v>
      </c>
      <c r="K15" s="9"/>
      <c r="L15" s="15" t="s">
        <v>139</v>
      </c>
      <c r="M15" s="16">
        <v>800</v>
      </c>
      <c r="N15" s="16">
        <v>750</v>
      </c>
      <c r="O15" s="31">
        <f t="shared" si="0"/>
        <v>1.0666666666666667</v>
      </c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</row>
    <row r="16" spans="1:221" x14ac:dyDescent="0.3">
      <c r="A16" s="9"/>
      <c r="B16" s="9"/>
      <c r="C16" s="9"/>
      <c r="D16" s="9"/>
      <c r="E16" s="45" t="s">
        <v>67</v>
      </c>
      <c r="F16" s="45"/>
      <c r="G16" s="45"/>
      <c r="H16" s="8">
        <v>3000</v>
      </c>
      <c r="I16" s="8" t="s">
        <v>48</v>
      </c>
      <c r="J16" s="8">
        <v>2000</v>
      </c>
      <c r="K16" s="9"/>
      <c r="L16" s="15" t="s">
        <v>140</v>
      </c>
      <c r="M16" s="16">
        <v>1500</v>
      </c>
      <c r="N16" s="16">
        <v>1200</v>
      </c>
      <c r="O16" s="31">
        <f t="shared" si="0"/>
        <v>1.25</v>
      </c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</row>
    <row r="17" spans="1:221" x14ac:dyDescent="0.3">
      <c r="A17" s="9"/>
      <c r="B17" s="9"/>
      <c r="C17" s="9"/>
      <c r="D17" s="9"/>
      <c r="E17" s="45" t="s">
        <v>68</v>
      </c>
      <c r="F17" s="45"/>
      <c r="G17" s="45"/>
      <c r="H17" s="8">
        <v>200</v>
      </c>
      <c r="I17" s="8" t="s">
        <v>49</v>
      </c>
      <c r="J17" s="8">
        <v>2000</v>
      </c>
      <c r="K17" s="9"/>
      <c r="L17" s="15" t="s">
        <v>141</v>
      </c>
      <c r="M17" s="16">
        <v>2100</v>
      </c>
      <c r="N17" s="16">
        <v>1500</v>
      </c>
      <c r="O17" s="31">
        <f t="shared" si="0"/>
        <v>1.4</v>
      </c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</row>
    <row r="18" spans="1:221" x14ac:dyDescent="0.3">
      <c r="A18" s="9"/>
      <c r="B18" s="9"/>
      <c r="C18" s="9"/>
      <c r="D18" s="9"/>
      <c r="E18" s="45" t="s">
        <v>69</v>
      </c>
      <c r="F18" s="45"/>
      <c r="G18" s="45"/>
      <c r="H18" s="8">
        <v>150</v>
      </c>
      <c r="I18" s="8" t="s">
        <v>50</v>
      </c>
      <c r="J18" s="8">
        <v>2000</v>
      </c>
      <c r="K18" s="9"/>
      <c r="L18" s="15" t="s">
        <v>142</v>
      </c>
      <c r="M18" s="16">
        <v>800</v>
      </c>
      <c r="N18" s="16">
        <v>1100</v>
      </c>
      <c r="O18" s="31">
        <f t="shared" si="0"/>
        <v>0.72727272727272729</v>
      </c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</row>
    <row r="19" spans="1:221" x14ac:dyDescent="0.3">
      <c r="A19" s="9"/>
      <c r="B19" s="9"/>
      <c r="C19" s="9"/>
      <c r="D19" s="9"/>
      <c r="E19" s="45" t="s">
        <v>71</v>
      </c>
      <c r="F19" s="45"/>
      <c r="G19" s="45"/>
      <c r="H19" s="8">
        <v>200</v>
      </c>
      <c r="I19" s="8" t="s">
        <v>51</v>
      </c>
      <c r="J19" s="8">
        <v>2000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</row>
    <row r="20" spans="1:221" x14ac:dyDescent="0.3">
      <c r="A20" s="9"/>
      <c r="B20" s="9"/>
      <c r="C20" s="9"/>
      <c r="D20" s="9"/>
      <c r="E20" s="45" t="s">
        <v>72</v>
      </c>
      <c r="F20" s="45"/>
      <c r="G20" s="45"/>
      <c r="H20" s="8">
        <v>150</v>
      </c>
      <c r="I20" s="8" t="s">
        <v>53</v>
      </c>
      <c r="J20" s="8">
        <v>500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</row>
    <row r="21" spans="1:221" x14ac:dyDescent="0.3">
      <c r="A21" s="9"/>
      <c r="B21" s="9"/>
      <c r="C21" s="9"/>
      <c r="D21" s="9"/>
      <c r="E21" s="45" t="s">
        <v>73</v>
      </c>
      <c r="F21" s="45"/>
      <c r="G21" s="45"/>
      <c r="H21" s="8">
        <v>500</v>
      </c>
      <c r="I21" s="8" t="s">
        <v>54</v>
      </c>
      <c r="J21" s="8">
        <v>100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</row>
    <row r="22" spans="1:221" x14ac:dyDescent="0.3">
      <c r="A22" s="9"/>
      <c r="B22" s="9"/>
      <c r="C22" s="9"/>
      <c r="D22" s="9"/>
      <c r="E22" s="45" t="s">
        <v>74</v>
      </c>
      <c r="F22" s="45"/>
      <c r="G22" s="45"/>
      <c r="H22" s="8">
        <v>200</v>
      </c>
      <c r="I22" s="8"/>
      <c r="J22" s="8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</row>
    <row r="23" spans="1:221" x14ac:dyDescent="0.3">
      <c r="A23" s="9"/>
      <c r="B23" s="9"/>
      <c r="C23" s="9"/>
      <c r="D23" s="9"/>
      <c r="E23" s="45" t="s">
        <v>75</v>
      </c>
      <c r="F23" s="45"/>
      <c r="G23" s="45"/>
      <c r="H23" s="8">
        <v>100</v>
      </c>
      <c r="I23" s="8"/>
      <c r="J23" s="8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</row>
    <row r="24" spans="1:221" x14ac:dyDescent="0.3">
      <c r="A24" s="9"/>
      <c r="B24" s="9"/>
      <c r="C24" s="9"/>
      <c r="D24" s="9"/>
      <c r="E24" s="45" t="s">
        <v>76</v>
      </c>
      <c r="F24" s="45"/>
      <c r="G24" s="45"/>
      <c r="H24" s="8">
        <v>200</v>
      </c>
      <c r="I24" s="8"/>
      <c r="J24" s="8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</row>
    <row r="25" spans="1:221" x14ac:dyDescent="0.3">
      <c r="A25" s="9"/>
      <c r="B25" s="9"/>
      <c r="C25" s="9"/>
      <c r="D25" s="9"/>
      <c r="E25" s="45" t="s">
        <v>77</v>
      </c>
      <c r="F25" s="45"/>
      <c r="G25" s="45"/>
      <c r="H25" s="8">
        <v>250</v>
      </c>
      <c r="I25" s="8"/>
      <c r="J25" s="8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</row>
    <row r="26" spans="1:221" x14ac:dyDescent="0.3">
      <c r="A26" s="9"/>
      <c r="B26" s="9"/>
      <c r="C26" s="9"/>
      <c r="D26" s="9"/>
      <c r="E26" s="45" t="s">
        <v>78</v>
      </c>
      <c r="F26" s="45"/>
      <c r="G26" s="45"/>
      <c r="H26" s="8">
        <v>250</v>
      </c>
      <c r="I26" s="8"/>
      <c r="J26" s="8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</row>
    <row r="27" spans="1:221" x14ac:dyDescent="0.3">
      <c r="A27" s="9"/>
      <c r="B27" s="9"/>
      <c r="C27" s="9"/>
      <c r="D27" s="9"/>
      <c r="E27" s="45" t="s">
        <v>79</v>
      </c>
      <c r="F27" s="45"/>
      <c r="G27" s="45"/>
      <c r="H27" s="8">
        <v>500</v>
      </c>
      <c r="I27" s="8"/>
      <c r="J27" s="8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</row>
    <row r="28" spans="1:221" x14ac:dyDescent="0.3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</row>
    <row r="29" spans="1:221" x14ac:dyDescent="0.3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</row>
    <row r="30" spans="1:221" x14ac:dyDescent="0.3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</row>
    <row r="31" spans="1:221" x14ac:dyDescent="0.3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</row>
    <row r="32" spans="1:221" x14ac:dyDescent="0.3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</row>
    <row r="33" spans="1:221" x14ac:dyDescent="0.3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</row>
    <row r="34" spans="1:221" x14ac:dyDescent="0.3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</row>
    <row r="35" spans="1:221" x14ac:dyDescent="0.3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</row>
    <row r="36" spans="1:221" x14ac:dyDescent="0.3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</row>
    <row r="37" spans="1:221" x14ac:dyDescent="0.3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</row>
    <row r="38" spans="1:221" x14ac:dyDescent="0.3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</row>
    <row r="39" spans="1:221" x14ac:dyDescent="0.3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</row>
    <row r="40" spans="1:221" x14ac:dyDescent="0.3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</row>
    <row r="41" spans="1:221" x14ac:dyDescent="0.3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</row>
    <row r="42" spans="1:221" x14ac:dyDescent="0.3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</row>
    <row r="43" spans="1:221" x14ac:dyDescent="0.3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</row>
    <row r="44" spans="1:221" x14ac:dyDescent="0.3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</row>
    <row r="45" spans="1:221" x14ac:dyDescent="0.3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</row>
    <row r="46" spans="1:221" x14ac:dyDescent="0.3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</row>
    <row r="47" spans="1:221" x14ac:dyDescent="0.3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</row>
    <row r="48" spans="1:221" x14ac:dyDescent="0.3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</row>
    <row r="49" spans="1:221" x14ac:dyDescent="0.3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</row>
    <row r="50" spans="1:221" x14ac:dyDescent="0.3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</row>
    <row r="51" spans="1:221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</row>
    <row r="52" spans="1:221" x14ac:dyDescent="0.3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</row>
    <row r="53" spans="1:221" x14ac:dyDescent="0.3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</row>
    <row r="54" spans="1:221" x14ac:dyDescent="0.3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</row>
    <row r="55" spans="1:221" x14ac:dyDescent="0.3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</row>
    <row r="56" spans="1:221" x14ac:dyDescent="0.3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</row>
    <row r="57" spans="1:221" x14ac:dyDescent="0.3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</row>
    <row r="58" spans="1:221" x14ac:dyDescent="0.3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</row>
    <row r="59" spans="1:221" x14ac:dyDescent="0.3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</row>
    <row r="60" spans="1:221" x14ac:dyDescent="0.3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</row>
    <row r="61" spans="1:221" x14ac:dyDescent="0.3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</row>
    <row r="62" spans="1:221" x14ac:dyDescent="0.3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</row>
    <row r="63" spans="1:221" x14ac:dyDescent="0.3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</row>
    <row r="64" spans="1:221" x14ac:dyDescent="0.3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</row>
    <row r="65" spans="1:221" x14ac:dyDescent="0.3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</row>
    <row r="66" spans="1:221" x14ac:dyDescent="0.3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</row>
    <row r="67" spans="1:221" x14ac:dyDescent="0.3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</row>
    <row r="68" spans="1:221" x14ac:dyDescent="0.3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</row>
    <row r="69" spans="1:221" x14ac:dyDescent="0.3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</row>
    <row r="70" spans="1:221" x14ac:dyDescent="0.3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</row>
    <row r="71" spans="1:221" x14ac:dyDescent="0.3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</row>
    <row r="72" spans="1:221" x14ac:dyDescent="0.3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</row>
    <row r="73" spans="1:221" x14ac:dyDescent="0.3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</row>
    <row r="74" spans="1:221" x14ac:dyDescent="0.3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</row>
    <row r="75" spans="1:221" x14ac:dyDescent="0.3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</row>
    <row r="76" spans="1:221" x14ac:dyDescent="0.3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</row>
    <row r="77" spans="1:221" x14ac:dyDescent="0.3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</row>
    <row r="78" spans="1:221" x14ac:dyDescent="0.3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</row>
    <row r="79" spans="1:221" x14ac:dyDescent="0.3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</row>
    <row r="80" spans="1:221" x14ac:dyDescent="0.3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</row>
    <row r="81" spans="1:221" x14ac:dyDescent="0.3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</row>
    <row r="82" spans="1:221" x14ac:dyDescent="0.3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</row>
    <row r="83" spans="1:221" x14ac:dyDescent="0.3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</row>
    <row r="84" spans="1:221" x14ac:dyDescent="0.3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</row>
    <row r="85" spans="1:221" x14ac:dyDescent="0.3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</row>
    <row r="86" spans="1:221" x14ac:dyDescent="0.3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</row>
    <row r="87" spans="1:221" x14ac:dyDescent="0.3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</row>
    <row r="88" spans="1:221" x14ac:dyDescent="0.3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</row>
    <row r="89" spans="1:221" x14ac:dyDescent="0.3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</row>
    <row r="90" spans="1:221" x14ac:dyDescent="0.3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</row>
    <row r="91" spans="1:221" x14ac:dyDescent="0.3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</row>
    <row r="92" spans="1:221" x14ac:dyDescent="0.3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</row>
    <row r="93" spans="1:221" x14ac:dyDescent="0.3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</row>
    <row r="94" spans="1:221" x14ac:dyDescent="0.3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</row>
    <row r="95" spans="1:221" x14ac:dyDescent="0.3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</row>
    <row r="96" spans="1:221" x14ac:dyDescent="0.3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</row>
    <row r="97" spans="1:221" x14ac:dyDescent="0.3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</row>
    <row r="98" spans="1:221" x14ac:dyDescent="0.3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</row>
    <row r="99" spans="1:221" x14ac:dyDescent="0.3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</row>
    <row r="100" spans="1:221" x14ac:dyDescent="0.3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</row>
    <row r="101" spans="1:221" x14ac:dyDescent="0.3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</row>
    <row r="102" spans="1:221" x14ac:dyDescent="0.3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</row>
  </sheetData>
  <mergeCells count="17">
    <mergeCell ref="E27:G27"/>
    <mergeCell ref="E18:G18"/>
    <mergeCell ref="E19:G19"/>
    <mergeCell ref="E20:G20"/>
    <mergeCell ref="E21:G21"/>
    <mergeCell ref="E22:G22"/>
    <mergeCell ref="E23:G23"/>
    <mergeCell ref="E13:G13"/>
    <mergeCell ref="E11:G11"/>
    <mergeCell ref="E24:G24"/>
    <mergeCell ref="E25:G25"/>
    <mergeCell ref="E26:G26"/>
    <mergeCell ref="E14:G14"/>
    <mergeCell ref="E15:G15"/>
    <mergeCell ref="E16:G16"/>
    <mergeCell ref="E17:G17"/>
    <mergeCell ref="E12:G1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5A873-33A9-4C57-AEBB-6EFBFCF4DEE8}">
  <sheetPr codeName="Sheet5"/>
  <dimension ref="A1:HK102"/>
  <sheetViews>
    <sheetView zoomScale="112" workbookViewId="0">
      <selection activeCell="I20" sqref="I20"/>
    </sheetView>
  </sheetViews>
  <sheetFormatPr defaultRowHeight="14.4" x14ac:dyDescent="0.3"/>
  <cols>
    <col min="12" max="12" width="8.6640625" bestFit="1" customWidth="1"/>
    <col min="14" max="15" width="9.5546875" bestFit="1" customWidth="1"/>
    <col min="17" max="17" width="9.6640625" bestFit="1" customWidth="1"/>
  </cols>
  <sheetData>
    <row r="1" spans="1:219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</row>
    <row r="2" spans="1:219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</row>
    <row r="3" spans="1:219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</row>
    <row r="4" spans="1:219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</row>
    <row r="5" spans="1:219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</row>
    <row r="6" spans="1:219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</row>
    <row r="7" spans="1:219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</row>
    <row r="8" spans="1:219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</row>
    <row r="9" spans="1:219" x14ac:dyDescent="0.3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</row>
    <row r="10" spans="1:219" x14ac:dyDescent="0.3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46" t="s">
        <v>136</v>
      </c>
      <c r="M10" s="46"/>
      <c r="N10" s="46" t="s">
        <v>137</v>
      </c>
      <c r="O10" s="46"/>
      <c r="P10" s="46" t="s">
        <v>138</v>
      </c>
      <c r="Q10" s="46"/>
      <c r="R10" s="46" t="s">
        <v>139</v>
      </c>
      <c r="S10" s="46"/>
      <c r="T10" s="46" t="s">
        <v>140</v>
      </c>
      <c r="U10" s="46"/>
      <c r="V10" s="46" t="s">
        <v>141</v>
      </c>
      <c r="W10" s="46"/>
      <c r="X10" s="46" t="s">
        <v>142</v>
      </c>
      <c r="Y10" s="46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</row>
    <row r="11" spans="1:219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32" t="s">
        <v>134</v>
      </c>
      <c r="M11" s="32" t="s">
        <v>135</v>
      </c>
      <c r="N11" s="32" t="s">
        <v>134</v>
      </c>
      <c r="O11" s="32" t="s">
        <v>135</v>
      </c>
      <c r="P11" s="32" t="s">
        <v>134</v>
      </c>
      <c r="Q11" s="32" t="s">
        <v>135</v>
      </c>
      <c r="R11" s="32" t="s">
        <v>134</v>
      </c>
      <c r="S11" s="32" t="s">
        <v>135</v>
      </c>
      <c r="T11" s="32" t="s">
        <v>134</v>
      </c>
      <c r="U11" s="32" t="s">
        <v>135</v>
      </c>
      <c r="V11" s="32" t="s">
        <v>134</v>
      </c>
      <c r="W11" s="32" t="s">
        <v>135</v>
      </c>
      <c r="X11" s="32" t="s">
        <v>134</v>
      </c>
      <c r="Y11" s="32" t="s">
        <v>135</v>
      </c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</row>
    <row r="12" spans="1:219" x14ac:dyDescent="0.3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32">
        <v>350</v>
      </c>
      <c r="M12" s="32">
        <f>userScreen!F42</f>
        <v>605</v>
      </c>
      <c r="N12" s="32">
        <v>350</v>
      </c>
      <c r="O12" s="32">
        <v>500</v>
      </c>
      <c r="P12" s="32">
        <v>350</v>
      </c>
      <c r="Q12" s="32">
        <v>200</v>
      </c>
      <c r="R12" s="32">
        <v>350</v>
      </c>
      <c r="S12" s="32">
        <v>300</v>
      </c>
      <c r="T12" s="32">
        <v>500</v>
      </c>
      <c r="U12" s="32">
        <v>700</v>
      </c>
      <c r="V12" s="32">
        <v>500</v>
      </c>
      <c r="W12" s="32">
        <v>250</v>
      </c>
      <c r="X12" s="32">
        <v>350</v>
      </c>
      <c r="Y12" s="32">
        <v>400</v>
      </c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</row>
    <row r="13" spans="1:219" x14ac:dyDescent="0.3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50">
        <f>M12/L12</f>
        <v>1.7285714285714286</v>
      </c>
      <c r="M13" s="50"/>
      <c r="N13" s="50">
        <f>O12/N12</f>
        <v>1.4285714285714286</v>
      </c>
      <c r="O13" s="50"/>
      <c r="P13" s="50">
        <f t="shared" ref="O13:P13" si="0">Q12/P12</f>
        <v>0.5714285714285714</v>
      </c>
      <c r="Q13" s="50"/>
      <c r="R13" s="50">
        <f t="shared" ref="R13" si="1">S12/R12</f>
        <v>0.8571428571428571</v>
      </c>
      <c r="S13" s="50"/>
      <c r="T13" s="50">
        <f t="shared" ref="T13" si="2">U12/T12</f>
        <v>1.4</v>
      </c>
      <c r="U13" s="50"/>
      <c r="V13" s="50">
        <f t="shared" ref="V13" si="3">W12/V12</f>
        <v>0.5</v>
      </c>
      <c r="W13" s="50"/>
      <c r="X13" s="50">
        <f t="shared" ref="X13" si="4">Y12/X12</f>
        <v>1.1428571428571428</v>
      </c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</row>
    <row r="14" spans="1:219" x14ac:dyDescent="0.3">
      <c r="A14" s="9"/>
      <c r="B14" s="9"/>
      <c r="C14" s="9"/>
      <c r="D14" s="9"/>
      <c r="E14" s="9"/>
      <c r="F14" s="9"/>
      <c r="G14" s="9">
        <v>1</v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</row>
    <row r="15" spans="1:219" x14ac:dyDescent="0.3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</row>
    <row r="16" spans="1:219" x14ac:dyDescent="0.3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</row>
    <row r="17" spans="1:219" x14ac:dyDescent="0.3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</row>
    <row r="18" spans="1:219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</row>
    <row r="19" spans="1:219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</row>
    <row r="20" spans="1:219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</row>
    <row r="21" spans="1:219" x14ac:dyDescent="0.3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</row>
    <row r="22" spans="1:219" x14ac:dyDescent="0.3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</row>
    <row r="23" spans="1:219" x14ac:dyDescent="0.3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</row>
    <row r="24" spans="1:219" x14ac:dyDescent="0.3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</row>
    <row r="25" spans="1:219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</row>
    <row r="26" spans="1:219" x14ac:dyDescent="0.3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</row>
    <row r="27" spans="1:219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</row>
    <row r="28" spans="1:219" x14ac:dyDescent="0.3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</row>
    <row r="29" spans="1:219" x14ac:dyDescent="0.3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</row>
    <row r="30" spans="1:219" x14ac:dyDescent="0.3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</row>
    <row r="31" spans="1:219" x14ac:dyDescent="0.3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</row>
    <row r="32" spans="1:219" x14ac:dyDescent="0.3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</row>
    <row r="33" spans="1:219" x14ac:dyDescent="0.3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</row>
    <row r="34" spans="1:219" x14ac:dyDescent="0.3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</row>
    <row r="35" spans="1:219" x14ac:dyDescent="0.3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</row>
    <row r="36" spans="1:219" x14ac:dyDescent="0.3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</row>
    <row r="37" spans="1:219" x14ac:dyDescent="0.3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</row>
    <row r="38" spans="1:219" x14ac:dyDescent="0.3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</row>
    <row r="39" spans="1:219" x14ac:dyDescent="0.3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</row>
    <row r="40" spans="1:219" x14ac:dyDescent="0.3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</row>
    <row r="41" spans="1:219" x14ac:dyDescent="0.3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</row>
    <row r="42" spans="1:219" x14ac:dyDescent="0.3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</row>
    <row r="43" spans="1:219" x14ac:dyDescent="0.3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</row>
    <row r="44" spans="1:219" x14ac:dyDescent="0.3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</row>
    <row r="45" spans="1:219" x14ac:dyDescent="0.3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</row>
    <row r="46" spans="1:219" x14ac:dyDescent="0.3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</row>
    <row r="47" spans="1:219" x14ac:dyDescent="0.3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</row>
    <row r="48" spans="1:219" x14ac:dyDescent="0.3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</row>
    <row r="49" spans="1:219" x14ac:dyDescent="0.3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</row>
    <row r="50" spans="1:219" x14ac:dyDescent="0.3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</row>
    <row r="51" spans="1:219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</row>
    <row r="52" spans="1:219" x14ac:dyDescent="0.3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</row>
    <row r="53" spans="1:219" x14ac:dyDescent="0.3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</row>
    <row r="54" spans="1:219" x14ac:dyDescent="0.3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</row>
    <row r="55" spans="1:219" x14ac:dyDescent="0.3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</row>
    <row r="56" spans="1:219" x14ac:dyDescent="0.3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</row>
    <row r="57" spans="1:219" x14ac:dyDescent="0.3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</row>
    <row r="58" spans="1:219" x14ac:dyDescent="0.3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</row>
    <row r="59" spans="1:219" x14ac:dyDescent="0.3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</row>
    <row r="60" spans="1:219" x14ac:dyDescent="0.3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</row>
    <row r="61" spans="1:219" x14ac:dyDescent="0.3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</row>
    <row r="62" spans="1:219" x14ac:dyDescent="0.3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</row>
    <row r="63" spans="1:219" x14ac:dyDescent="0.3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</row>
    <row r="64" spans="1:219" x14ac:dyDescent="0.3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</row>
    <row r="65" spans="1:219" x14ac:dyDescent="0.3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</row>
    <row r="66" spans="1:219" x14ac:dyDescent="0.3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</row>
    <row r="67" spans="1:219" x14ac:dyDescent="0.3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</row>
    <row r="68" spans="1:219" x14ac:dyDescent="0.3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</row>
    <row r="69" spans="1:219" x14ac:dyDescent="0.3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</row>
    <row r="70" spans="1:219" x14ac:dyDescent="0.3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</row>
    <row r="71" spans="1:219" x14ac:dyDescent="0.3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</row>
    <row r="72" spans="1:219" x14ac:dyDescent="0.3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</row>
    <row r="73" spans="1:219" x14ac:dyDescent="0.3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</row>
    <row r="74" spans="1:219" x14ac:dyDescent="0.3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</row>
    <row r="75" spans="1:219" x14ac:dyDescent="0.3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</row>
    <row r="76" spans="1:219" x14ac:dyDescent="0.3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</row>
    <row r="77" spans="1:219" x14ac:dyDescent="0.3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</row>
    <row r="78" spans="1:219" x14ac:dyDescent="0.3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</row>
    <row r="79" spans="1:219" x14ac:dyDescent="0.3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</row>
    <row r="80" spans="1:219" x14ac:dyDescent="0.3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</row>
    <row r="81" spans="1:219" x14ac:dyDescent="0.3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</row>
    <row r="82" spans="1:219" x14ac:dyDescent="0.3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</row>
    <row r="83" spans="1:219" x14ac:dyDescent="0.3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</row>
    <row r="84" spans="1:219" x14ac:dyDescent="0.3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</row>
    <row r="85" spans="1:219" x14ac:dyDescent="0.3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</row>
    <row r="86" spans="1:219" x14ac:dyDescent="0.3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</row>
    <row r="87" spans="1:219" x14ac:dyDescent="0.3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</row>
    <row r="88" spans="1:219" x14ac:dyDescent="0.3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</row>
    <row r="89" spans="1:219" x14ac:dyDescent="0.3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</row>
    <row r="90" spans="1:219" x14ac:dyDescent="0.3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</row>
    <row r="91" spans="1:219" x14ac:dyDescent="0.3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</row>
    <row r="92" spans="1:219" x14ac:dyDescent="0.3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</row>
    <row r="93" spans="1:219" x14ac:dyDescent="0.3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</row>
    <row r="94" spans="1:219" x14ac:dyDescent="0.3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</row>
    <row r="95" spans="1:219" x14ac:dyDescent="0.3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</row>
    <row r="96" spans="1:219" x14ac:dyDescent="0.3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</row>
    <row r="97" spans="1:219" x14ac:dyDescent="0.3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</row>
    <row r="98" spans="1:219" x14ac:dyDescent="0.3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</row>
    <row r="99" spans="1:219" x14ac:dyDescent="0.3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</row>
    <row r="100" spans="1:219" x14ac:dyDescent="0.3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</row>
    <row r="101" spans="1:219" x14ac:dyDescent="0.3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</row>
    <row r="102" spans="1:219" x14ac:dyDescent="0.3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</row>
  </sheetData>
  <mergeCells count="7">
    <mergeCell ref="X10:Y10"/>
    <mergeCell ref="L10:M10"/>
    <mergeCell ref="N10:O10"/>
    <mergeCell ref="P10:Q10"/>
    <mergeCell ref="R10:S10"/>
    <mergeCell ref="T10:U10"/>
    <mergeCell ref="V10:W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EA4F3DB3-4E59-4AAE-933C-F949D0914B02}">
          <x14:formula1>
            <xm:f>database!$H$78:$AA$78</xm:f>
          </x14:formula1>
          <xm:sqref>G14:I14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CECA8-0D6D-419B-8DCD-074E31554ADC}">
  <sheetPr codeName="Sheet6"/>
  <dimension ref="A1:HK102"/>
  <sheetViews>
    <sheetView tabSelected="1" topLeftCell="A6" zoomScale="73" workbookViewId="0">
      <selection activeCell="T31" sqref="T31"/>
    </sheetView>
  </sheetViews>
  <sheetFormatPr defaultRowHeight="14.4" x14ac:dyDescent="0.3"/>
  <cols>
    <col min="9" max="9" width="10.33203125" bestFit="1" customWidth="1"/>
    <col min="10" max="10" width="12.77734375" bestFit="1" customWidth="1"/>
    <col min="12" max="12" width="12.77734375" bestFit="1" customWidth="1"/>
    <col min="13" max="13" width="12.33203125" bestFit="1" customWidth="1"/>
    <col min="15" max="15" width="12.33203125" bestFit="1" customWidth="1"/>
  </cols>
  <sheetData>
    <row r="1" spans="1:219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</row>
    <row r="2" spans="1:219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</row>
    <row r="3" spans="1:219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</row>
    <row r="4" spans="1:219" x14ac:dyDescent="0.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</row>
    <row r="5" spans="1:219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</row>
    <row r="6" spans="1:219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</row>
    <row r="7" spans="1:219" x14ac:dyDescent="0.3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</row>
    <row r="8" spans="1:219" x14ac:dyDescent="0.3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</row>
    <row r="9" spans="1:219" x14ac:dyDescent="0.3">
      <c r="A9" s="9"/>
      <c r="B9" s="9"/>
      <c r="C9" s="9"/>
      <c r="D9" s="9"/>
      <c r="E9" s="9"/>
      <c r="F9" s="9"/>
      <c r="G9" s="9"/>
      <c r="H9" s="9"/>
      <c r="I9" s="9"/>
      <c r="J9" s="47" t="s">
        <v>136</v>
      </c>
      <c r="K9" s="47"/>
      <c r="L9" s="47" t="s">
        <v>137</v>
      </c>
      <c r="M9" s="47"/>
      <c r="N9" s="47" t="s">
        <v>138</v>
      </c>
      <c r="O9" s="47"/>
      <c r="P9" s="47" t="s">
        <v>139</v>
      </c>
      <c r="Q9" s="47"/>
      <c r="R9" s="47" t="s">
        <v>140</v>
      </c>
      <c r="S9" s="47"/>
      <c r="T9" s="47" t="s">
        <v>141</v>
      </c>
      <c r="U9" s="47"/>
      <c r="V9" s="47" t="s">
        <v>142</v>
      </c>
      <c r="W9" s="47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</row>
    <row r="10" spans="1:219" x14ac:dyDescent="0.3">
      <c r="A10" s="9"/>
      <c r="B10" s="9"/>
      <c r="C10" s="9"/>
      <c r="D10" s="9"/>
      <c r="E10" s="9"/>
      <c r="F10" s="9"/>
      <c r="G10" s="9"/>
      <c r="H10" s="9"/>
      <c r="I10" s="9" t="s">
        <v>197</v>
      </c>
      <c r="J10" s="9" t="s">
        <v>134</v>
      </c>
      <c r="K10" s="9" t="s">
        <v>135</v>
      </c>
      <c r="L10" s="9" t="s">
        <v>134</v>
      </c>
      <c r="M10" s="9" t="s">
        <v>135</v>
      </c>
      <c r="N10" s="9" t="s">
        <v>134</v>
      </c>
      <c r="O10" s="9" t="s">
        <v>135</v>
      </c>
      <c r="P10" s="9" t="s">
        <v>134</v>
      </c>
      <c r="Q10" s="9" t="s">
        <v>135</v>
      </c>
      <c r="R10" s="9" t="s">
        <v>134</v>
      </c>
      <c r="S10" s="9" t="s">
        <v>135</v>
      </c>
      <c r="T10" s="9" t="s">
        <v>134</v>
      </c>
      <c r="U10" s="9" t="s">
        <v>135</v>
      </c>
      <c r="V10" s="9" t="s">
        <v>134</v>
      </c>
      <c r="W10" s="9" t="s">
        <v>135</v>
      </c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</row>
    <row r="11" spans="1:219" x14ac:dyDescent="0.3">
      <c r="A11" s="9"/>
      <c r="B11" s="9"/>
      <c r="C11" s="9"/>
      <c r="D11" s="9"/>
      <c r="E11" s="9"/>
      <c r="F11" s="9"/>
      <c r="G11" s="9"/>
      <c r="H11" s="9"/>
      <c r="I11" s="9">
        <v>23</v>
      </c>
      <c r="J11" s="9">
        <v>300</v>
      </c>
      <c r="K11" s="9">
        <v>651</v>
      </c>
      <c r="L11" s="49">
        <v>500</v>
      </c>
      <c r="M11" s="9">
        <v>510</v>
      </c>
      <c r="N11" s="9">
        <v>650</v>
      </c>
      <c r="O11" s="9">
        <v>844</v>
      </c>
      <c r="P11" s="9">
        <v>300</v>
      </c>
      <c r="Q11" s="9">
        <v>130</v>
      </c>
      <c r="R11" s="9">
        <v>1300</v>
      </c>
      <c r="S11" s="9">
        <v>971</v>
      </c>
      <c r="T11" s="9">
        <v>300</v>
      </c>
      <c r="U11" s="9">
        <v>373</v>
      </c>
      <c r="V11" s="9">
        <v>550</v>
      </c>
      <c r="W11" s="9">
        <v>659</v>
      </c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</row>
    <row r="12" spans="1:219" x14ac:dyDescent="0.3">
      <c r="A12" s="9"/>
      <c r="B12" s="9"/>
      <c r="C12" s="9"/>
      <c r="D12" s="9"/>
      <c r="E12" s="9"/>
      <c r="F12" s="9" t="s">
        <v>157</v>
      </c>
      <c r="G12" s="9"/>
      <c r="H12" s="9"/>
      <c r="I12" s="9">
        <v>14</v>
      </c>
      <c r="J12" s="9">
        <v>400</v>
      </c>
      <c r="K12" s="9">
        <v>341</v>
      </c>
      <c r="L12" s="49">
        <v>700</v>
      </c>
      <c r="M12" s="9">
        <v>167</v>
      </c>
      <c r="N12" s="9">
        <v>250</v>
      </c>
      <c r="O12" s="9">
        <v>144</v>
      </c>
      <c r="P12" s="9">
        <v>500</v>
      </c>
      <c r="Q12" s="9">
        <v>112</v>
      </c>
      <c r="R12" s="9">
        <v>700</v>
      </c>
      <c r="S12" s="9">
        <v>897</v>
      </c>
      <c r="T12" s="9">
        <v>350</v>
      </c>
      <c r="U12" s="9">
        <v>127</v>
      </c>
      <c r="V12" s="9">
        <v>450</v>
      </c>
      <c r="W12" s="9">
        <v>334</v>
      </c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</row>
    <row r="13" spans="1:219" x14ac:dyDescent="0.3">
      <c r="A13" s="9"/>
      <c r="B13" s="9"/>
      <c r="C13" s="9"/>
      <c r="D13" s="9"/>
      <c r="E13" s="9"/>
      <c r="F13" s="9"/>
      <c r="G13" s="9"/>
      <c r="H13" s="9"/>
      <c r="I13" s="9">
        <v>22</v>
      </c>
      <c r="J13" s="9">
        <v>700</v>
      </c>
      <c r="K13" s="9">
        <v>743</v>
      </c>
      <c r="L13" s="49">
        <v>400</v>
      </c>
      <c r="M13" s="9">
        <v>855</v>
      </c>
      <c r="N13" s="9">
        <v>800</v>
      </c>
      <c r="O13" s="9">
        <v>1154</v>
      </c>
      <c r="P13" s="9">
        <v>600</v>
      </c>
      <c r="Q13" s="9">
        <v>267</v>
      </c>
      <c r="R13" s="9">
        <v>400</v>
      </c>
      <c r="S13" s="9">
        <v>242</v>
      </c>
      <c r="T13" s="9">
        <v>800</v>
      </c>
      <c r="U13" s="9">
        <v>1134</v>
      </c>
      <c r="V13" s="9">
        <v>550</v>
      </c>
      <c r="W13" s="9">
        <v>568</v>
      </c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</row>
    <row r="14" spans="1:219" x14ac:dyDescent="0.3">
      <c r="A14" s="9"/>
      <c r="B14" s="9"/>
      <c r="C14" s="9"/>
      <c r="D14" s="9"/>
      <c r="E14" s="9"/>
      <c r="F14" s="9"/>
      <c r="G14" s="9"/>
      <c r="H14" s="9"/>
      <c r="I14" s="9">
        <v>8</v>
      </c>
      <c r="J14" s="9">
        <v>1000</v>
      </c>
      <c r="K14" s="9">
        <v>1192</v>
      </c>
      <c r="L14" s="49">
        <v>500</v>
      </c>
      <c r="M14" s="9">
        <v>426</v>
      </c>
      <c r="N14" s="9">
        <v>350</v>
      </c>
      <c r="O14" s="9">
        <v>767</v>
      </c>
      <c r="P14" s="9">
        <v>500</v>
      </c>
      <c r="Q14" s="9">
        <v>730</v>
      </c>
      <c r="R14" s="9">
        <v>600</v>
      </c>
      <c r="S14" s="9">
        <v>748</v>
      </c>
      <c r="T14" s="9">
        <v>400</v>
      </c>
      <c r="U14" s="9">
        <v>126</v>
      </c>
      <c r="V14" s="9">
        <v>900</v>
      </c>
      <c r="W14" s="9">
        <v>1033</v>
      </c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</row>
    <row r="15" spans="1:219" x14ac:dyDescent="0.3">
      <c r="A15" s="9"/>
      <c r="B15" s="9"/>
      <c r="C15" s="9"/>
      <c r="D15" s="9"/>
      <c r="E15" s="9"/>
      <c r="F15" s="9"/>
      <c r="G15" s="9"/>
      <c r="H15" s="9"/>
      <c r="I15" s="9">
        <v>13</v>
      </c>
      <c r="J15" s="9">
        <v>500</v>
      </c>
      <c r="K15" s="9">
        <v>413</v>
      </c>
      <c r="L15" s="49">
        <v>1200</v>
      </c>
      <c r="M15" s="9">
        <v>1078</v>
      </c>
      <c r="N15" s="9">
        <v>1500</v>
      </c>
      <c r="O15" s="9">
        <v>1091</v>
      </c>
      <c r="P15" s="9">
        <v>400</v>
      </c>
      <c r="Q15" s="9">
        <v>769</v>
      </c>
      <c r="R15" s="9">
        <v>300</v>
      </c>
      <c r="S15" s="9">
        <v>327</v>
      </c>
      <c r="T15" s="9">
        <v>300</v>
      </c>
      <c r="U15" s="9">
        <v>315</v>
      </c>
      <c r="V15" s="9">
        <v>100</v>
      </c>
      <c r="W15" s="9">
        <v>1125</v>
      </c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</row>
    <row r="16" spans="1:219" x14ac:dyDescent="0.3">
      <c r="A16" s="9"/>
      <c r="B16" s="9"/>
      <c r="C16" s="9"/>
      <c r="D16" s="9"/>
      <c r="E16" s="9"/>
      <c r="F16" s="9"/>
      <c r="G16" s="9"/>
      <c r="H16" s="9"/>
      <c r="I16" s="9">
        <v>16</v>
      </c>
      <c r="J16" s="9">
        <v>800</v>
      </c>
      <c r="K16" s="9">
        <v>638</v>
      </c>
      <c r="L16" s="49">
        <v>1500</v>
      </c>
      <c r="M16" s="9">
        <v>1148</v>
      </c>
      <c r="N16" s="9">
        <v>500</v>
      </c>
      <c r="O16" s="9">
        <v>428</v>
      </c>
      <c r="P16" s="9">
        <v>1000</v>
      </c>
      <c r="Q16" s="9">
        <v>677</v>
      </c>
      <c r="R16" s="9">
        <v>650</v>
      </c>
      <c r="S16" s="9">
        <v>789</v>
      </c>
      <c r="T16" s="9">
        <v>700</v>
      </c>
      <c r="U16" s="9">
        <v>964</v>
      </c>
      <c r="V16" s="9">
        <v>600</v>
      </c>
      <c r="W16" s="9">
        <v>362</v>
      </c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</row>
    <row r="17" spans="1:219" x14ac:dyDescent="0.3">
      <c r="A17" s="9"/>
      <c r="B17" s="9"/>
      <c r="C17" s="9"/>
      <c r="D17" s="9"/>
      <c r="E17" s="9"/>
      <c r="F17" s="9"/>
      <c r="G17" s="9"/>
      <c r="H17" s="9"/>
      <c r="I17" s="9" t="s">
        <v>198</v>
      </c>
      <c r="J17" s="9">
        <f>K11/J11</f>
        <v>2.17</v>
      </c>
      <c r="K17" s="9"/>
      <c r="L17" s="9">
        <f>M11/L11</f>
        <v>1.02</v>
      </c>
      <c r="M17" s="9"/>
      <c r="N17" s="9">
        <f>O11/N11</f>
        <v>1.2984615384615386</v>
      </c>
      <c r="O17" s="9"/>
      <c r="P17" s="9">
        <f>Q11/P11</f>
        <v>0.43333333333333335</v>
      </c>
      <c r="Q17" s="9"/>
      <c r="R17" s="9">
        <f>S11/R11</f>
        <v>0.74692307692307691</v>
      </c>
      <c r="S17" s="9"/>
      <c r="T17" s="9">
        <f>U11/T11</f>
        <v>1.2433333333333334</v>
      </c>
      <c r="U17" s="9"/>
      <c r="V17" s="9">
        <f>W11/V11</f>
        <v>1.1981818181818182</v>
      </c>
      <c r="W17" s="50">
        <f>AVERAGE(J17:V17)</f>
        <v>1.1586047286047285</v>
      </c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</row>
    <row r="18" spans="1:219" x14ac:dyDescent="0.3">
      <c r="A18" s="9"/>
      <c r="B18" s="9"/>
      <c r="C18" s="9"/>
      <c r="D18" s="9"/>
      <c r="E18" s="9"/>
      <c r="F18" s="9"/>
      <c r="G18" s="9"/>
      <c r="H18" s="9"/>
      <c r="I18" s="9"/>
      <c r="J18" s="9">
        <f t="shared" ref="J18:L22" si="0">K12/J12</f>
        <v>0.85250000000000004</v>
      </c>
      <c r="K18" s="9"/>
      <c r="L18" s="9">
        <f t="shared" si="0"/>
        <v>0.23857142857142857</v>
      </c>
      <c r="M18" s="9"/>
      <c r="N18" s="9">
        <f t="shared" ref="N18" si="1">O12/N12</f>
        <v>0.57599999999999996</v>
      </c>
      <c r="O18" s="9"/>
      <c r="P18" s="9">
        <f t="shared" ref="P18" si="2">Q12/P12</f>
        <v>0.224</v>
      </c>
      <c r="Q18" s="9"/>
      <c r="R18" s="9">
        <f t="shared" ref="R18" si="3">S12/R12</f>
        <v>1.2814285714285714</v>
      </c>
      <c r="S18" s="9"/>
      <c r="T18" s="9">
        <f t="shared" ref="T18" si="4">U12/T12</f>
        <v>0.36285714285714288</v>
      </c>
      <c r="U18" s="9"/>
      <c r="V18" s="9">
        <f t="shared" ref="V18" si="5">W12/V12</f>
        <v>0.74222222222222223</v>
      </c>
      <c r="W18" s="50">
        <f t="shared" ref="W18:W22" si="6">AVERAGE(J18:V18)</f>
        <v>0.61108276643990933</v>
      </c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</row>
    <row r="19" spans="1:219" x14ac:dyDescent="0.3">
      <c r="A19" s="9"/>
      <c r="B19" s="9"/>
      <c r="C19" s="9"/>
      <c r="D19" s="9"/>
      <c r="E19" s="9"/>
      <c r="F19" s="9"/>
      <c r="G19" s="9"/>
      <c r="H19" s="9"/>
      <c r="I19" s="9"/>
      <c r="J19" s="9">
        <f t="shared" si="0"/>
        <v>1.0614285714285714</v>
      </c>
      <c r="K19" s="9"/>
      <c r="L19" s="9">
        <f t="shared" si="0"/>
        <v>2.1375000000000002</v>
      </c>
      <c r="M19" s="9"/>
      <c r="N19" s="9">
        <f t="shared" ref="N19" si="7">O13/N13</f>
        <v>1.4424999999999999</v>
      </c>
      <c r="O19" s="9"/>
      <c r="P19" s="9">
        <f t="shared" ref="P19" si="8">Q13/P13</f>
        <v>0.44500000000000001</v>
      </c>
      <c r="Q19" s="9"/>
      <c r="R19" s="9">
        <f t="shared" ref="R19" si="9">S13/R13</f>
        <v>0.60499999999999998</v>
      </c>
      <c r="S19" s="9"/>
      <c r="T19" s="9">
        <f t="shared" ref="T19" si="10">U13/T13</f>
        <v>1.4175</v>
      </c>
      <c r="U19" s="9"/>
      <c r="V19" s="9">
        <f t="shared" ref="V19" si="11">W13/V13</f>
        <v>1.0327272727272727</v>
      </c>
      <c r="W19" s="50">
        <f t="shared" si="6"/>
        <v>1.1630936920222636</v>
      </c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</row>
    <row r="20" spans="1:219" x14ac:dyDescent="0.3">
      <c r="A20" s="9"/>
      <c r="B20" s="9"/>
      <c r="C20" s="9"/>
      <c r="D20" s="9"/>
      <c r="E20" s="9"/>
      <c r="F20" s="9"/>
      <c r="G20" s="9"/>
      <c r="H20" s="9"/>
      <c r="I20" s="9"/>
      <c r="J20" s="9">
        <f t="shared" si="0"/>
        <v>1.1919999999999999</v>
      </c>
      <c r="K20" s="9"/>
      <c r="L20" s="9">
        <f t="shared" si="0"/>
        <v>0.85199999999999998</v>
      </c>
      <c r="M20" s="9"/>
      <c r="N20" s="9">
        <f t="shared" ref="N20" si="12">O14/N14</f>
        <v>2.1914285714285713</v>
      </c>
      <c r="O20" s="9"/>
      <c r="P20" s="9">
        <f t="shared" ref="P20" si="13">Q14/P14</f>
        <v>1.46</v>
      </c>
      <c r="Q20" s="9"/>
      <c r="R20" s="9">
        <f t="shared" ref="R20" si="14">S14/R14</f>
        <v>1.2466666666666666</v>
      </c>
      <c r="S20" s="9"/>
      <c r="T20" s="9">
        <f t="shared" ref="T20" si="15">U14/T14</f>
        <v>0.315</v>
      </c>
      <c r="U20" s="9"/>
      <c r="V20" s="9">
        <f t="shared" ref="V20" si="16">W14/V14</f>
        <v>1.1477777777777778</v>
      </c>
      <c r="W20" s="50">
        <f t="shared" si="6"/>
        <v>1.2006961451247165</v>
      </c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</row>
    <row r="21" spans="1:219" x14ac:dyDescent="0.3">
      <c r="A21" s="9"/>
      <c r="B21" s="9"/>
      <c r="C21" s="9"/>
      <c r="D21" s="9"/>
      <c r="E21" s="9"/>
      <c r="F21" s="9"/>
      <c r="G21" s="9"/>
      <c r="H21" s="9"/>
      <c r="I21" s="9"/>
      <c r="J21" s="9">
        <f t="shared" si="0"/>
        <v>0.82599999999999996</v>
      </c>
      <c r="K21" s="9"/>
      <c r="L21" s="9">
        <f t="shared" si="0"/>
        <v>0.89833333333333332</v>
      </c>
      <c r="M21" s="9"/>
      <c r="N21" s="9">
        <f t="shared" ref="N21" si="17">O15/N15</f>
        <v>0.72733333333333339</v>
      </c>
      <c r="O21" s="9"/>
      <c r="P21" s="9">
        <f t="shared" ref="P21" si="18">Q15/P15</f>
        <v>1.9225000000000001</v>
      </c>
      <c r="Q21" s="9"/>
      <c r="R21" s="9">
        <f t="shared" ref="R21" si="19">S15/R15</f>
        <v>1.0900000000000001</v>
      </c>
      <c r="S21" s="9"/>
      <c r="T21" s="9">
        <f t="shared" ref="T21" si="20">U15/T15</f>
        <v>1.05</v>
      </c>
      <c r="U21" s="9"/>
      <c r="V21" s="9">
        <f t="shared" ref="V21" si="21">W15/V15</f>
        <v>11.25</v>
      </c>
      <c r="W21" s="50">
        <f t="shared" si="6"/>
        <v>2.5377380952380952</v>
      </c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</row>
    <row r="22" spans="1:219" x14ac:dyDescent="0.3">
      <c r="A22" s="9"/>
      <c r="B22" s="9"/>
      <c r="C22" s="9"/>
      <c r="D22" s="9"/>
      <c r="E22" s="9"/>
      <c r="F22" s="9"/>
      <c r="G22" s="9"/>
      <c r="H22" s="9"/>
      <c r="I22" s="9"/>
      <c r="J22" s="9">
        <f t="shared" si="0"/>
        <v>0.79749999999999999</v>
      </c>
      <c r="K22" s="9"/>
      <c r="L22" s="9">
        <f t="shared" si="0"/>
        <v>0.76533333333333331</v>
      </c>
      <c r="M22" s="9"/>
      <c r="N22" s="9">
        <f t="shared" ref="N22" si="22">O16/N16</f>
        <v>0.85599999999999998</v>
      </c>
      <c r="O22" s="9"/>
      <c r="P22" s="9">
        <f t="shared" ref="P22" si="23">Q16/P16</f>
        <v>0.67700000000000005</v>
      </c>
      <c r="Q22" s="9"/>
      <c r="R22" s="9">
        <f t="shared" ref="R22" si="24">S16/R16</f>
        <v>1.2138461538461538</v>
      </c>
      <c r="S22" s="9"/>
      <c r="T22" s="9">
        <f t="shared" ref="T22" si="25">U16/T16</f>
        <v>1.3771428571428572</v>
      </c>
      <c r="U22" s="9"/>
      <c r="V22" s="9">
        <f t="shared" ref="V22" si="26">W16/V16</f>
        <v>0.60333333333333339</v>
      </c>
      <c r="W22" s="50">
        <f t="shared" si="6"/>
        <v>0.89859366823652542</v>
      </c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</row>
    <row r="23" spans="1:219" x14ac:dyDescent="0.3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</row>
    <row r="24" spans="1:219" x14ac:dyDescent="0.3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</row>
    <row r="25" spans="1:219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</row>
    <row r="26" spans="1:219" ht="18" x14ac:dyDescent="0.35">
      <c r="A26" s="9"/>
      <c r="B26" s="9"/>
      <c r="C26" s="9"/>
      <c r="D26" s="9"/>
      <c r="E26" s="9"/>
      <c r="F26" s="9"/>
      <c r="G26" s="9"/>
      <c r="H26" s="9"/>
      <c r="I26" s="51" t="s">
        <v>200</v>
      </c>
      <c r="J26" s="51" t="s">
        <v>136</v>
      </c>
      <c r="K26" s="51" t="s">
        <v>137</v>
      </c>
      <c r="L26" s="51" t="s">
        <v>138</v>
      </c>
      <c r="M26" s="51" t="s">
        <v>139</v>
      </c>
      <c r="N26" s="51" t="s">
        <v>140</v>
      </c>
      <c r="O26" s="51" t="s">
        <v>141</v>
      </c>
      <c r="P26" s="51" t="s">
        <v>142</v>
      </c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</row>
    <row r="27" spans="1:219" ht="18" x14ac:dyDescent="0.35">
      <c r="A27" s="9"/>
      <c r="B27" s="9"/>
      <c r="C27" s="9"/>
      <c r="D27" s="9"/>
      <c r="E27" s="9"/>
      <c r="F27" s="9"/>
      <c r="G27" s="9"/>
      <c r="H27" s="9"/>
      <c r="I27" s="51">
        <v>16</v>
      </c>
      <c r="J27" s="51">
        <v>16</v>
      </c>
      <c r="K27" s="51">
        <v>16</v>
      </c>
      <c r="L27" s="51">
        <v>16</v>
      </c>
      <c r="M27" s="51" t="s">
        <v>199</v>
      </c>
      <c r="N27" s="51">
        <v>16</v>
      </c>
      <c r="O27" s="51">
        <v>16</v>
      </c>
      <c r="P27" s="51" t="s">
        <v>199</v>
      </c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</row>
    <row r="28" spans="1:219" ht="18" x14ac:dyDescent="0.35">
      <c r="A28" s="9"/>
      <c r="B28" s="9"/>
      <c r="C28" s="9"/>
      <c r="D28" s="9"/>
      <c r="E28" s="9"/>
      <c r="F28" s="9"/>
      <c r="G28" s="9"/>
      <c r="H28" s="9"/>
      <c r="I28" s="51">
        <v>13</v>
      </c>
      <c r="J28" s="51" t="s">
        <v>199</v>
      </c>
      <c r="K28" s="51">
        <v>6</v>
      </c>
      <c r="L28" s="51" t="s">
        <v>199</v>
      </c>
      <c r="M28" s="51">
        <v>6</v>
      </c>
      <c r="N28" s="51">
        <v>6</v>
      </c>
      <c r="O28" s="51" t="s">
        <v>199</v>
      </c>
      <c r="P28" s="51">
        <v>6</v>
      </c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</row>
    <row r="29" spans="1:219" ht="18" x14ac:dyDescent="0.35">
      <c r="A29" s="9"/>
      <c r="B29" s="9"/>
      <c r="C29" s="9"/>
      <c r="D29" s="9"/>
      <c r="E29" s="9"/>
      <c r="F29" s="9"/>
      <c r="G29" s="9"/>
      <c r="H29" s="9"/>
      <c r="I29" s="51">
        <v>8</v>
      </c>
      <c r="J29" s="51">
        <v>12</v>
      </c>
      <c r="K29" s="51">
        <v>12</v>
      </c>
      <c r="L29" s="51" t="s">
        <v>199</v>
      </c>
      <c r="M29" s="51">
        <v>4</v>
      </c>
      <c r="N29" s="51">
        <v>12</v>
      </c>
      <c r="O29" s="51" t="s">
        <v>199</v>
      </c>
      <c r="P29" s="51">
        <v>12</v>
      </c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</row>
    <row r="30" spans="1:219" ht="18" x14ac:dyDescent="0.35">
      <c r="A30" s="9"/>
      <c r="B30" s="9"/>
      <c r="C30" s="9"/>
      <c r="D30" s="9"/>
      <c r="E30" s="9"/>
      <c r="F30" s="9"/>
      <c r="G30" s="9"/>
      <c r="H30" s="9"/>
      <c r="I30" s="51">
        <v>22</v>
      </c>
      <c r="J30" s="51">
        <v>4</v>
      </c>
      <c r="K30" s="51" t="s">
        <v>199</v>
      </c>
      <c r="L30" s="51">
        <v>12</v>
      </c>
      <c r="M30" s="51">
        <v>12</v>
      </c>
      <c r="N30" s="51" t="s">
        <v>199</v>
      </c>
      <c r="O30" s="51">
        <v>4</v>
      </c>
      <c r="P30" s="51">
        <v>16</v>
      </c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</row>
    <row r="31" spans="1:219" ht="18" x14ac:dyDescent="0.35">
      <c r="A31" s="9"/>
      <c r="B31" s="9"/>
      <c r="C31" s="9"/>
      <c r="D31" s="9"/>
      <c r="E31" s="9"/>
      <c r="F31" s="9"/>
      <c r="G31" s="9"/>
      <c r="H31" s="9"/>
      <c r="I31" s="51">
        <v>14</v>
      </c>
      <c r="J31" s="51" t="s">
        <v>199</v>
      </c>
      <c r="K31" s="51">
        <v>4</v>
      </c>
      <c r="L31" s="51">
        <v>6</v>
      </c>
      <c r="M31" s="51" t="s">
        <v>199</v>
      </c>
      <c r="N31" s="51">
        <v>4</v>
      </c>
      <c r="O31" s="51">
        <v>12</v>
      </c>
      <c r="P31" s="51">
        <v>4</v>
      </c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</row>
    <row r="32" spans="1:219" ht="18" x14ac:dyDescent="0.35">
      <c r="A32" s="9"/>
      <c r="B32" s="9"/>
      <c r="C32" s="9"/>
      <c r="D32" s="9"/>
      <c r="E32" s="9"/>
      <c r="F32" s="9"/>
      <c r="G32" s="9"/>
      <c r="H32" s="9"/>
      <c r="I32" s="51">
        <v>23</v>
      </c>
      <c r="J32" s="51">
        <v>6</v>
      </c>
      <c r="K32" s="51" t="s">
        <v>199</v>
      </c>
      <c r="L32" s="51">
        <v>4</v>
      </c>
      <c r="M32" s="51">
        <v>16</v>
      </c>
      <c r="N32" s="51" t="s">
        <v>199</v>
      </c>
      <c r="O32" s="51">
        <v>6</v>
      </c>
      <c r="P32" s="51" t="s">
        <v>199</v>
      </c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</row>
    <row r="33" spans="1:219" x14ac:dyDescent="0.3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</row>
    <row r="34" spans="1:219" x14ac:dyDescent="0.3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</row>
    <row r="35" spans="1:219" x14ac:dyDescent="0.3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</row>
    <row r="36" spans="1:219" x14ac:dyDescent="0.3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</row>
    <row r="37" spans="1:219" x14ac:dyDescent="0.3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</row>
    <row r="38" spans="1:219" x14ac:dyDescent="0.3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</row>
    <row r="39" spans="1:219" x14ac:dyDescent="0.3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</row>
    <row r="40" spans="1:219" x14ac:dyDescent="0.3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</row>
    <row r="41" spans="1:219" x14ac:dyDescent="0.3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</row>
    <row r="42" spans="1:219" x14ac:dyDescent="0.3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</row>
    <row r="43" spans="1:219" x14ac:dyDescent="0.3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</row>
    <row r="44" spans="1:219" x14ac:dyDescent="0.3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</row>
    <row r="45" spans="1:219" x14ac:dyDescent="0.3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</row>
    <row r="46" spans="1:219" x14ac:dyDescent="0.3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</row>
    <row r="47" spans="1:219" x14ac:dyDescent="0.3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</row>
    <row r="48" spans="1:219" x14ac:dyDescent="0.3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</row>
    <row r="49" spans="1:219" x14ac:dyDescent="0.3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</row>
    <row r="50" spans="1:219" x14ac:dyDescent="0.3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</row>
    <row r="51" spans="1:219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</row>
    <row r="52" spans="1:219" x14ac:dyDescent="0.3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</row>
    <row r="53" spans="1:219" x14ac:dyDescent="0.3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</row>
    <row r="54" spans="1:219" x14ac:dyDescent="0.3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</row>
    <row r="55" spans="1:219" x14ac:dyDescent="0.3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</row>
    <row r="56" spans="1:219" x14ac:dyDescent="0.3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</row>
    <row r="57" spans="1:219" x14ac:dyDescent="0.3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</row>
    <row r="58" spans="1:219" x14ac:dyDescent="0.3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</row>
    <row r="59" spans="1:219" x14ac:dyDescent="0.3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</row>
    <row r="60" spans="1:219" x14ac:dyDescent="0.3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</row>
    <row r="61" spans="1:219" x14ac:dyDescent="0.3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</row>
    <row r="62" spans="1:219" x14ac:dyDescent="0.3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</row>
    <row r="63" spans="1:219" x14ac:dyDescent="0.3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</row>
    <row r="64" spans="1:219" x14ac:dyDescent="0.3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</row>
    <row r="65" spans="1:219" x14ac:dyDescent="0.3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</row>
    <row r="66" spans="1:219" x14ac:dyDescent="0.3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</row>
    <row r="67" spans="1:219" x14ac:dyDescent="0.3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</row>
    <row r="68" spans="1:219" x14ac:dyDescent="0.3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</row>
    <row r="69" spans="1:219" x14ac:dyDescent="0.3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</row>
    <row r="70" spans="1:219" x14ac:dyDescent="0.3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</row>
    <row r="71" spans="1:219" x14ac:dyDescent="0.3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</row>
    <row r="72" spans="1:219" x14ac:dyDescent="0.3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</row>
    <row r="73" spans="1:219" x14ac:dyDescent="0.3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</row>
    <row r="74" spans="1:219" x14ac:dyDescent="0.3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</row>
    <row r="75" spans="1:219" x14ac:dyDescent="0.3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</row>
    <row r="76" spans="1:219" x14ac:dyDescent="0.3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</row>
    <row r="77" spans="1:219" x14ac:dyDescent="0.3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</row>
    <row r="78" spans="1:219" x14ac:dyDescent="0.3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</row>
    <row r="79" spans="1:219" x14ac:dyDescent="0.3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</row>
    <row r="80" spans="1:219" x14ac:dyDescent="0.3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</row>
    <row r="81" spans="1:219" x14ac:dyDescent="0.3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</row>
    <row r="82" spans="1:219" x14ac:dyDescent="0.3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</row>
    <row r="83" spans="1:219" x14ac:dyDescent="0.3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</row>
    <row r="84" spans="1:219" x14ac:dyDescent="0.3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</row>
    <row r="85" spans="1:219" x14ac:dyDescent="0.3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</row>
    <row r="86" spans="1:219" x14ac:dyDescent="0.3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</row>
    <row r="87" spans="1:219" x14ac:dyDescent="0.3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</row>
    <row r="88" spans="1:219" x14ac:dyDescent="0.3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</row>
    <row r="89" spans="1:219" x14ac:dyDescent="0.3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</row>
    <row r="90" spans="1:219" x14ac:dyDescent="0.3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</row>
    <row r="91" spans="1:219" x14ac:dyDescent="0.3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</row>
    <row r="92" spans="1:219" x14ac:dyDescent="0.3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</row>
    <row r="93" spans="1:219" x14ac:dyDescent="0.3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</row>
    <row r="94" spans="1:219" x14ac:dyDescent="0.3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</row>
    <row r="95" spans="1:219" x14ac:dyDescent="0.3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</row>
    <row r="96" spans="1:219" x14ac:dyDescent="0.3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</row>
    <row r="97" spans="1:219" x14ac:dyDescent="0.3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</row>
    <row r="98" spans="1:219" x14ac:dyDescent="0.3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</row>
    <row r="99" spans="1:219" x14ac:dyDescent="0.3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</row>
    <row r="100" spans="1:219" x14ac:dyDescent="0.3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</row>
    <row r="101" spans="1:219" x14ac:dyDescent="0.3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</row>
    <row r="102" spans="1:219" x14ac:dyDescent="0.3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</row>
  </sheetData>
  <mergeCells count="7">
    <mergeCell ref="V9:W9"/>
    <mergeCell ref="T9:U9"/>
    <mergeCell ref="J9:K9"/>
    <mergeCell ref="L9:M9"/>
    <mergeCell ref="N9:O9"/>
    <mergeCell ref="P9:Q9"/>
    <mergeCell ref="R9:S9"/>
  </mergeCells>
  <phoneticPr fontId="1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A388E0-D583-4D15-8848-DB9DF1F9969C}">
          <x14:formula1>
            <xm:f>Sayfa1!$E$1:$Y$1</xm:f>
          </x14:formula1>
          <xm:sqref>F12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7410B-7B06-4042-A6B9-80915FCCD818}">
  <sheetPr codeName="Sheet7"/>
  <dimension ref="A1:IM101"/>
  <sheetViews>
    <sheetView workbookViewId="0">
      <selection activeCell="K15" sqref="K15"/>
    </sheetView>
  </sheetViews>
  <sheetFormatPr defaultRowHeight="14.4" x14ac:dyDescent="0.3"/>
  <sheetData>
    <row r="1" spans="1:24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</row>
    <row r="2" spans="1:247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</row>
    <row r="3" spans="1:247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</row>
    <row r="4" spans="1:2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</row>
    <row r="5" spans="1:247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</row>
    <row r="6" spans="1:247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</row>
    <row r="7" spans="1:247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</row>
    <row r="8" spans="1:2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</row>
    <row r="9" spans="1:24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</row>
    <row r="10" spans="1:247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</row>
    <row r="11" spans="1:247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</row>
    <row r="12" spans="1:24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</row>
    <row r="13" spans="1:247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</row>
    <row r="14" spans="1:247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</row>
    <row r="15" spans="1:247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</row>
    <row r="16" spans="1:24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</row>
    <row r="17" spans="1:247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</row>
    <row r="18" spans="1:247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</row>
    <row r="19" spans="1:247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</row>
    <row r="20" spans="1:24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</row>
    <row r="21" spans="1:247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</row>
    <row r="22" spans="1:247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</row>
    <row r="23" spans="1:247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</row>
    <row r="24" spans="1:247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</row>
    <row r="25" spans="1:247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</row>
    <row r="26" spans="1:2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</row>
    <row r="27" spans="1:247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</row>
    <row r="28" spans="1:247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</row>
    <row r="29" spans="1:247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</row>
    <row r="30" spans="1:2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</row>
    <row r="31" spans="1:247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</row>
    <row r="32" spans="1:247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</row>
    <row r="33" spans="1:247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</row>
    <row r="34" spans="1:247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</row>
    <row r="35" spans="1:247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</row>
    <row r="36" spans="1:247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</row>
    <row r="37" spans="1:247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</row>
    <row r="38" spans="1:247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</row>
    <row r="39" spans="1:247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</row>
    <row r="40" spans="1:247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</row>
    <row r="41" spans="1:247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</row>
    <row r="42" spans="1:247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</row>
    <row r="43" spans="1:247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</row>
    <row r="44" spans="1:247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</row>
    <row r="45" spans="1:247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</row>
    <row r="46" spans="1:247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</row>
    <row r="47" spans="1:2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</row>
    <row r="48" spans="1:247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</row>
    <row r="49" spans="1:24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</row>
    <row r="50" spans="1:24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</row>
    <row r="51" spans="1:24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</row>
    <row r="52" spans="1:24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</row>
    <row r="53" spans="1:24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</row>
    <row r="54" spans="1:24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</row>
    <row r="55" spans="1:24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</row>
    <row r="56" spans="1:24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</row>
    <row r="57" spans="1:24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</row>
    <row r="58" spans="1:24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</row>
    <row r="59" spans="1:24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</row>
    <row r="60" spans="1:24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</row>
    <row r="61" spans="1:24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</row>
    <row r="62" spans="1:24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</row>
    <row r="63" spans="1:24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</row>
    <row r="64" spans="1:24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</row>
    <row r="65" spans="1:24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</row>
    <row r="66" spans="1:24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</row>
    <row r="67" spans="1:24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</row>
    <row r="68" spans="1:24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</row>
    <row r="69" spans="1:24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</row>
    <row r="70" spans="1:24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</row>
    <row r="71" spans="1:24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</row>
    <row r="72" spans="1:24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</row>
    <row r="73" spans="1:24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</row>
    <row r="74" spans="1:24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</row>
    <row r="75" spans="1:24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</row>
    <row r="76" spans="1:24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</row>
    <row r="77" spans="1:24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</row>
    <row r="78" spans="1:24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</row>
    <row r="79" spans="1:2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</row>
    <row r="80" spans="1:24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</row>
    <row r="81" spans="1:24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</row>
    <row r="82" spans="1:24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</row>
    <row r="83" spans="1:24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</row>
    <row r="84" spans="1:24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</row>
    <row r="85" spans="1:24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</row>
    <row r="86" spans="1:24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</row>
    <row r="87" spans="1:24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</row>
    <row r="88" spans="1:24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</row>
    <row r="89" spans="1:24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</row>
    <row r="90" spans="1:24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</row>
    <row r="91" spans="1:24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</row>
    <row r="92" spans="1:24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</row>
    <row r="93" spans="1:24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</row>
    <row r="94" spans="1:24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</row>
    <row r="95" spans="1:24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</row>
    <row r="96" spans="1:24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</row>
    <row r="97" spans="1:24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</row>
    <row r="98" spans="1:24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</row>
    <row r="99" spans="1:24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</row>
    <row r="100" spans="1:24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</row>
    <row r="101" spans="1:24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AE4A-4CA3-465D-9A1F-859414AAA33F}">
  <sheetPr codeName="Sayfa1"/>
  <dimension ref="A1:BH37"/>
  <sheetViews>
    <sheetView zoomScale="79" workbookViewId="0">
      <selection activeCell="AE30" sqref="AE30"/>
    </sheetView>
  </sheetViews>
  <sheetFormatPr defaultRowHeight="14.4" x14ac:dyDescent="0.3"/>
  <sheetData>
    <row r="1" spans="1:30" x14ac:dyDescent="0.3">
      <c r="E1" t="s">
        <v>157</v>
      </c>
      <c r="J1" t="s">
        <v>158</v>
      </c>
      <c r="O1" t="s">
        <v>159</v>
      </c>
      <c r="T1" t="s">
        <v>160</v>
      </c>
      <c r="Y1" t="s">
        <v>161</v>
      </c>
    </row>
    <row r="2" spans="1:30" x14ac:dyDescent="0.3">
      <c r="D2" t="s">
        <v>162</v>
      </c>
      <c r="E2" t="s">
        <v>163</v>
      </c>
      <c r="F2" t="s">
        <v>164</v>
      </c>
      <c r="G2" t="s">
        <v>165</v>
      </c>
      <c r="I2" t="s">
        <v>162</v>
      </c>
      <c r="J2" t="s">
        <v>163</v>
      </c>
      <c r="K2" t="s">
        <v>164</v>
      </c>
      <c r="L2" t="s">
        <v>165</v>
      </c>
      <c r="N2" t="s">
        <v>162</v>
      </c>
      <c r="O2" t="s">
        <v>163</v>
      </c>
      <c r="P2" t="s">
        <v>164</v>
      </c>
      <c r="Q2" t="s">
        <v>165</v>
      </c>
      <c r="S2" t="s">
        <v>162</v>
      </c>
      <c r="T2" t="s">
        <v>163</v>
      </c>
      <c r="U2" t="s">
        <v>164</v>
      </c>
      <c r="V2" t="s">
        <v>165</v>
      </c>
      <c r="X2" t="s">
        <v>162</v>
      </c>
      <c r="Y2" t="s">
        <v>163</v>
      </c>
      <c r="Z2" t="s">
        <v>164</v>
      </c>
      <c r="AA2" t="s">
        <v>165</v>
      </c>
    </row>
    <row r="3" spans="1:30" x14ac:dyDescent="0.3">
      <c r="D3">
        <v>12</v>
      </c>
      <c r="E3" s="27">
        <v>0.70587947515097615</v>
      </c>
      <c r="F3">
        <v>23</v>
      </c>
      <c r="G3" s="27">
        <v>1.85</v>
      </c>
      <c r="I3">
        <v>15</v>
      </c>
      <c r="J3" s="27">
        <v>1.3775478653254698</v>
      </c>
      <c r="K3">
        <v>9</v>
      </c>
      <c r="L3" s="27">
        <v>3.4073720075385969</v>
      </c>
      <c r="N3">
        <v>18</v>
      </c>
      <c r="O3" s="27">
        <v>3.0445131762382793</v>
      </c>
      <c r="P3">
        <v>18</v>
      </c>
      <c r="Q3" s="27">
        <v>5.09589109457968</v>
      </c>
      <c r="S3">
        <v>8</v>
      </c>
      <c r="T3" s="28">
        <v>0.58490725818841272</v>
      </c>
      <c r="U3">
        <v>3</v>
      </c>
      <c r="V3" s="27">
        <v>6.5018604159847468</v>
      </c>
      <c r="X3">
        <v>2</v>
      </c>
      <c r="Y3" s="27">
        <v>3.8668975340672023</v>
      </c>
      <c r="Z3">
        <v>19</v>
      </c>
      <c r="AA3" s="27">
        <v>8.9386867009597726</v>
      </c>
    </row>
    <row r="4" spans="1:30" x14ac:dyDescent="0.3">
      <c r="A4" s="27"/>
      <c r="D4">
        <v>4</v>
      </c>
      <c r="E4" s="27">
        <v>0.75712905539034814</v>
      </c>
      <c r="F4">
        <v>14</v>
      </c>
      <c r="G4" s="27">
        <v>2.13</v>
      </c>
      <c r="H4" s="27"/>
      <c r="I4">
        <v>5</v>
      </c>
      <c r="J4" s="27">
        <v>2.2685083139563416</v>
      </c>
      <c r="K4">
        <v>27</v>
      </c>
      <c r="L4" s="27">
        <v>3.5875390108991931</v>
      </c>
      <c r="M4" s="27"/>
      <c r="N4">
        <v>9</v>
      </c>
      <c r="O4" s="27">
        <v>3.4612631416602735</v>
      </c>
      <c r="P4">
        <v>10</v>
      </c>
      <c r="Q4" s="27">
        <v>5.9419162595895578</v>
      </c>
      <c r="R4" s="27"/>
      <c r="S4">
        <v>11</v>
      </c>
      <c r="T4" s="28">
        <v>0.77639706861903524</v>
      </c>
      <c r="U4">
        <v>1</v>
      </c>
      <c r="V4" s="27">
        <v>6.5991596123595126</v>
      </c>
      <c r="W4" s="27"/>
      <c r="X4">
        <v>19</v>
      </c>
      <c r="Y4" s="27">
        <v>4.2021317064243302</v>
      </c>
      <c r="Z4">
        <v>11</v>
      </c>
      <c r="AA4" s="27">
        <v>9.0564497348861259</v>
      </c>
      <c r="AB4" s="27"/>
      <c r="AC4" s="27"/>
      <c r="AD4" s="27"/>
    </row>
    <row r="5" spans="1:30" x14ac:dyDescent="0.3">
      <c r="D5">
        <v>6</v>
      </c>
      <c r="E5" s="27">
        <v>1.1556400806692979</v>
      </c>
      <c r="F5">
        <v>22</v>
      </c>
      <c r="G5" s="27">
        <v>2.34</v>
      </c>
      <c r="I5">
        <v>7</v>
      </c>
      <c r="J5" s="27">
        <v>2.2968490518527691</v>
      </c>
      <c r="K5">
        <v>17</v>
      </c>
      <c r="L5" s="27">
        <v>3.7472199949788312</v>
      </c>
      <c r="N5">
        <v>11</v>
      </c>
      <c r="O5" s="27">
        <v>3.5266092059153804</v>
      </c>
      <c r="P5">
        <v>28</v>
      </c>
      <c r="Q5" s="27">
        <v>5.9967350018677843</v>
      </c>
      <c r="S5">
        <v>20</v>
      </c>
      <c r="T5" s="28">
        <v>0.84538343974669461</v>
      </c>
      <c r="U5">
        <v>2</v>
      </c>
      <c r="V5" s="27">
        <v>7.0114130221468676</v>
      </c>
      <c r="X5">
        <v>10</v>
      </c>
      <c r="Y5" s="27">
        <v>4.351974210183295</v>
      </c>
      <c r="Z5">
        <v>21</v>
      </c>
      <c r="AA5" s="27">
        <v>9.1263775792881461</v>
      </c>
    </row>
    <row r="6" spans="1:30" x14ac:dyDescent="0.3">
      <c r="D6">
        <v>16</v>
      </c>
      <c r="E6" s="27">
        <v>1.2677566824557485</v>
      </c>
      <c r="F6">
        <v>8</v>
      </c>
      <c r="G6" s="27">
        <v>2.56</v>
      </c>
      <c r="I6">
        <v>3</v>
      </c>
      <c r="J6" s="27">
        <v>2.9324290791246344</v>
      </c>
      <c r="K6">
        <v>25</v>
      </c>
      <c r="L6" s="27">
        <v>3.826625476396015</v>
      </c>
      <c r="N6">
        <v>17</v>
      </c>
      <c r="O6" s="27">
        <v>3.594000342809474</v>
      </c>
      <c r="P6">
        <v>12</v>
      </c>
      <c r="Q6" s="27">
        <v>6.0560610378627437</v>
      </c>
      <c r="S6">
        <v>1</v>
      </c>
      <c r="T6" s="28">
        <v>0.85891951681328493</v>
      </c>
      <c r="U6">
        <v>20</v>
      </c>
      <c r="V6" s="27">
        <v>7.5074345554844495</v>
      </c>
      <c r="X6">
        <v>8</v>
      </c>
      <c r="Y6" s="27">
        <v>4.975155143444848</v>
      </c>
      <c r="Z6">
        <v>24</v>
      </c>
      <c r="AA6" s="27">
        <v>9.4128824345443078</v>
      </c>
    </row>
    <row r="7" spans="1:30" x14ac:dyDescent="0.3">
      <c r="F7">
        <v>13</v>
      </c>
      <c r="G7" s="27">
        <v>2.8094716356916969</v>
      </c>
      <c r="K7">
        <v>7</v>
      </c>
      <c r="L7" s="27">
        <v>3.9760586648010809</v>
      </c>
      <c r="P7">
        <v>15</v>
      </c>
      <c r="Q7" s="27">
        <v>4.1569399086855574</v>
      </c>
      <c r="U7">
        <v>5</v>
      </c>
      <c r="V7" s="27">
        <v>6.1717488918143175</v>
      </c>
      <c r="Z7">
        <v>30</v>
      </c>
      <c r="AA7" s="27">
        <v>8.6950233039479858</v>
      </c>
    </row>
    <row r="8" spans="1:30" x14ac:dyDescent="0.3">
      <c r="F8">
        <v>16</v>
      </c>
      <c r="G8" s="27">
        <v>2.94</v>
      </c>
      <c r="K8">
        <v>26</v>
      </c>
      <c r="L8" s="27">
        <v>3.3834487403653268</v>
      </c>
      <c r="P8">
        <v>6</v>
      </c>
      <c r="Q8" s="27">
        <v>4.7957647566980279</v>
      </c>
      <c r="U8">
        <v>29</v>
      </c>
      <c r="V8" s="27">
        <v>6.4322743023271789</v>
      </c>
      <c r="Z8">
        <v>4</v>
      </c>
      <c r="AA8" s="27">
        <v>8.8528323205287283</v>
      </c>
    </row>
    <row r="11" spans="1:30" x14ac:dyDescent="0.3">
      <c r="A11" s="28"/>
      <c r="B11" s="28"/>
      <c r="H11" s="28"/>
      <c r="I11" s="28"/>
      <c r="J11" s="28"/>
      <c r="K11" s="28"/>
      <c r="N11" s="28"/>
      <c r="O11" s="28"/>
      <c r="P11" s="28"/>
      <c r="Q11" s="28"/>
      <c r="R11" s="28"/>
      <c r="S11" s="28"/>
      <c r="T11" s="28"/>
    </row>
    <row r="21" spans="1:60" x14ac:dyDescent="0.3">
      <c r="E21" s="28">
        <v>9.3788130171159501E-2</v>
      </c>
      <c r="F21" s="28">
        <v>0.10574194914763924</v>
      </c>
      <c r="G21" s="28">
        <v>0.14843589178827599</v>
      </c>
      <c r="H21" s="28">
        <v>0.15752480872546037</v>
      </c>
      <c r="I21" s="28">
        <v>9.3788130171159501E-2</v>
      </c>
      <c r="J21" s="28">
        <v>0.10574194914763924</v>
      </c>
      <c r="K21" s="28">
        <v>0.14843589178827599</v>
      </c>
      <c r="L21" s="28">
        <v>0.15752480872546037</v>
      </c>
      <c r="M21" s="28">
        <v>9.3788130171159501E-2</v>
      </c>
      <c r="N21" s="28">
        <v>0.10574194914763924</v>
      </c>
      <c r="O21" s="28">
        <v>0.14843589178827599</v>
      </c>
      <c r="P21" s="28">
        <v>0.15752480872546037</v>
      </c>
      <c r="Q21" s="28">
        <v>9.3788130171159501E-2</v>
      </c>
      <c r="R21" s="28">
        <v>0.10574194914763924</v>
      </c>
      <c r="S21" s="28">
        <v>0.14843589178827599</v>
      </c>
      <c r="T21" s="28">
        <v>0.15752480872546037</v>
      </c>
      <c r="U21" s="28">
        <v>9.3788130171159501E-2</v>
      </c>
      <c r="V21" s="28">
        <v>0.10574194914763924</v>
      </c>
      <c r="W21" s="28">
        <v>0.14843589178827599</v>
      </c>
      <c r="X21" s="28">
        <v>0.15752480872546037</v>
      </c>
      <c r="Y21" s="28">
        <v>9.3788130171159501E-2</v>
      </c>
      <c r="Z21" s="28">
        <v>0.10574194914763924</v>
      </c>
      <c r="AA21" s="28">
        <v>0.14843589178827599</v>
      </c>
      <c r="AB21" s="28">
        <v>0.15752480872546037</v>
      </c>
      <c r="AC21" s="28">
        <v>9.3788130171159501E-2</v>
      </c>
      <c r="AD21" s="28">
        <v>0.10574194914763924</v>
      </c>
      <c r="AE21" s="28">
        <v>0.14843589178827599</v>
      </c>
      <c r="AF21" s="28">
        <v>0.15752480872546037</v>
      </c>
    </row>
    <row r="22" spans="1:60" x14ac:dyDescent="0.3">
      <c r="A22" t="s">
        <v>166</v>
      </c>
      <c r="B22" s="48" t="s">
        <v>167</v>
      </c>
      <c r="C22" s="48"/>
      <c r="D22" s="28"/>
      <c r="E22" t="s">
        <v>168</v>
      </c>
      <c r="F22" t="s">
        <v>169</v>
      </c>
      <c r="G22" t="s">
        <v>170</v>
      </c>
      <c r="H22" t="s">
        <v>171</v>
      </c>
      <c r="I22" t="s">
        <v>172</v>
      </c>
      <c r="J22" t="s">
        <v>173</v>
      </c>
      <c r="K22" t="s">
        <v>174</v>
      </c>
      <c r="L22" t="s">
        <v>175</v>
      </c>
      <c r="M22" t="s">
        <v>176</v>
      </c>
      <c r="N22" t="s">
        <v>177</v>
      </c>
      <c r="O22" t="s">
        <v>178</v>
      </c>
      <c r="P22" t="s">
        <v>179</v>
      </c>
      <c r="Q22" t="s">
        <v>180</v>
      </c>
      <c r="R22" t="s">
        <v>181</v>
      </c>
      <c r="S22" t="s">
        <v>182</v>
      </c>
      <c r="T22" t="s">
        <v>183</v>
      </c>
      <c r="U22" t="s">
        <v>184</v>
      </c>
      <c r="V22" t="s">
        <v>185</v>
      </c>
      <c r="W22" t="s">
        <v>186</v>
      </c>
      <c r="X22" t="s">
        <v>187</v>
      </c>
      <c r="Y22" t="s">
        <v>188</v>
      </c>
      <c r="Z22" t="s">
        <v>189</v>
      </c>
      <c r="AA22" t="s">
        <v>190</v>
      </c>
      <c r="AB22" t="s">
        <v>191</v>
      </c>
      <c r="AC22" t="s">
        <v>192</v>
      </c>
      <c r="AD22" t="s">
        <v>193</v>
      </c>
      <c r="AE22" t="s">
        <v>194</v>
      </c>
      <c r="AF22" t="s">
        <v>195</v>
      </c>
    </row>
    <row r="23" spans="1:60" x14ac:dyDescent="0.3">
      <c r="A23">
        <f>SUM(E23:AF23)</f>
        <v>4</v>
      </c>
      <c r="C23">
        <f>SUM(AG23:BH23)</f>
        <v>0.56013854144965158</v>
      </c>
      <c r="D23">
        <v>23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f>E23*E$21</f>
        <v>0</v>
      </c>
      <c r="AH23">
        <f t="shared" ref="AH23:BH23" si="0">F23*F21</f>
        <v>0</v>
      </c>
      <c r="AI23">
        <f t="shared" si="0"/>
        <v>0.14843589178827599</v>
      </c>
      <c r="AJ23">
        <f t="shared" si="0"/>
        <v>0</v>
      </c>
      <c r="AK23">
        <f t="shared" si="0"/>
        <v>0</v>
      </c>
      <c r="AL23">
        <f t="shared" si="0"/>
        <v>0</v>
      </c>
      <c r="AM23">
        <f t="shared" si="0"/>
        <v>0</v>
      </c>
      <c r="AN23">
        <f t="shared" si="0"/>
        <v>0</v>
      </c>
      <c r="AO23">
        <f t="shared" si="0"/>
        <v>0</v>
      </c>
      <c r="AP23">
        <f t="shared" si="0"/>
        <v>0.10574194914763924</v>
      </c>
      <c r="AQ23">
        <f t="shared" si="0"/>
        <v>0</v>
      </c>
      <c r="AR23">
        <f t="shared" si="0"/>
        <v>0</v>
      </c>
      <c r="AS23">
        <f t="shared" si="0"/>
        <v>0</v>
      </c>
      <c r="AT23">
        <f t="shared" si="0"/>
        <v>0</v>
      </c>
      <c r="AU23">
        <f t="shared" si="0"/>
        <v>0</v>
      </c>
      <c r="AV23">
        <f t="shared" si="0"/>
        <v>0.15752480872546037</v>
      </c>
      <c r="AW23">
        <f t="shared" si="0"/>
        <v>0</v>
      </c>
      <c r="AX23">
        <f t="shared" si="0"/>
        <v>0</v>
      </c>
      <c r="AY23">
        <f t="shared" si="0"/>
        <v>0</v>
      </c>
      <c r="AZ23">
        <f t="shared" si="0"/>
        <v>0</v>
      </c>
      <c r="BA23">
        <f t="shared" si="0"/>
        <v>0</v>
      </c>
      <c r="BB23">
        <f t="shared" si="0"/>
        <v>0</v>
      </c>
      <c r="BC23">
        <f t="shared" si="0"/>
        <v>0.14843589178827599</v>
      </c>
      <c r="BD23">
        <f t="shared" si="0"/>
        <v>0</v>
      </c>
      <c r="BE23">
        <f t="shared" si="0"/>
        <v>0</v>
      </c>
      <c r="BF23">
        <f t="shared" si="0"/>
        <v>0</v>
      </c>
      <c r="BG23">
        <f t="shared" si="0"/>
        <v>0</v>
      </c>
      <c r="BH23">
        <f t="shared" si="0"/>
        <v>0</v>
      </c>
    </row>
    <row r="24" spans="1:60" x14ac:dyDescent="0.3">
      <c r="A24">
        <f t="shared" ref="A24:A28" si="1">SUM(E24:AF24)</f>
        <v>5</v>
      </c>
      <c r="C24">
        <f t="shared" ref="C24:C28" si="2">SUM(AG24:BH24)</f>
        <v>0.55944986940235319</v>
      </c>
      <c r="D24">
        <v>14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0</v>
      </c>
      <c r="AF24">
        <v>0</v>
      </c>
      <c r="AG24">
        <f>E24*E$21</f>
        <v>0</v>
      </c>
      <c r="AH24">
        <f t="shared" ref="AH24:AW28" si="3">F24*F$21</f>
        <v>0</v>
      </c>
      <c r="AI24">
        <f t="shared" si="3"/>
        <v>0</v>
      </c>
      <c r="AJ24">
        <f t="shared" si="3"/>
        <v>0</v>
      </c>
      <c r="AK24">
        <f t="shared" si="3"/>
        <v>0</v>
      </c>
      <c r="AL24">
        <f t="shared" si="3"/>
        <v>0.10574194914763924</v>
      </c>
      <c r="AM24">
        <f t="shared" si="3"/>
        <v>0</v>
      </c>
      <c r="AN24">
        <f t="shared" si="3"/>
        <v>0</v>
      </c>
      <c r="AO24">
        <f t="shared" si="3"/>
        <v>0</v>
      </c>
      <c r="AP24">
        <f t="shared" si="3"/>
        <v>0</v>
      </c>
      <c r="AQ24">
        <f t="shared" si="3"/>
        <v>0.14843589178827599</v>
      </c>
      <c r="AR24">
        <f t="shared" si="3"/>
        <v>0</v>
      </c>
      <c r="AS24">
        <f t="shared" si="3"/>
        <v>0</v>
      </c>
      <c r="AT24">
        <f t="shared" si="3"/>
        <v>0</v>
      </c>
      <c r="AU24">
        <f t="shared" si="3"/>
        <v>0</v>
      </c>
      <c r="AV24">
        <f t="shared" si="3"/>
        <v>0</v>
      </c>
      <c r="AW24">
        <f t="shared" si="3"/>
        <v>0</v>
      </c>
      <c r="AX24">
        <f t="shared" ref="AX24:BH28" si="4">V24*V$21</f>
        <v>0.10574194914763924</v>
      </c>
      <c r="AY24">
        <f t="shared" si="4"/>
        <v>0</v>
      </c>
      <c r="AZ24">
        <f t="shared" si="4"/>
        <v>0</v>
      </c>
      <c r="BA24">
        <f t="shared" si="4"/>
        <v>9.3788130171159501E-2</v>
      </c>
      <c r="BB24">
        <f t="shared" si="4"/>
        <v>0</v>
      </c>
      <c r="BC24">
        <f t="shared" si="4"/>
        <v>0</v>
      </c>
      <c r="BD24">
        <f t="shared" si="4"/>
        <v>0</v>
      </c>
      <c r="BE24">
        <f t="shared" si="4"/>
        <v>0</v>
      </c>
      <c r="BF24">
        <f t="shared" si="4"/>
        <v>0.10574194914763924</v>
      </c>
      <c r="BG24">
        <f t="shared" si="4"/>
        <v>0</v>
      </c>
      <c r="BH24">
        <f t="shared" si="4"/>
        <v>0</v>
      </c>
    </row>
    <row r="25" spans="1:60" x14ac:dyDescent="0.3">
      <c r="A25">
        <f t="shared" si="1"/>
        <v>5</v>
      </c>
      <c r="C25">
        <f t="shared" si="2"/>
        <v>0.55658496736305785</v>
      </c>
      <c r="D25">
        <v>22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1</v>
      </c>
      <c r="AG25">
        <f>E25*E$21</f>
        <v>0</v>
      </c>
      <c r="AH25">
        <f t="shared" si="3"/>
        <v>0.10574194914763924</v>
      </c>
      <c r="AI25">
        <f t="shared" si="3"/>
        <v>0</v>
      </c>
      <c r="AJ25">
        <f t="shared" si="3"/>
        <v>0</v>
      </c>
      <c r="AK25">
        <f t="shared" si="3"/>
        <v>0</v>
      </c>
      <c r="AL25">
        <f t="shared" si="3"/>
        <v>0</v>
      </c>
      <c r="AM25">
        <f t="shared" si="3"/>
        <v>0</v>
      </c>
      <c r="AN25">
        <f t="shared" si="3"/>
        <v>0</v>
      </c>
      <c r="AO25">
        <f t="shared" si="3"/>
        <v>9.3788130171159501E-2</v>
      </c>
      <c r="AP25">
        <f t="shared" si="3"/>
        <v>0</v>
      </c>
      <c r="AQ25">
        <f t="shared" si="3"/>
        <v>0</v>
      </c>
      <c r="AR25">
        <f t="shared" si="3"/>
        <v>0</v>
      </c>
      <c r="AS25">
        <f t="shared" si="3"/>
        <v>9.3788130171159501E-2</v>
      </c>
      <c r="AT25">
        <f t="shared" si="3"/>
        <v>0</v>
      </c>
      <c r="AU25">
        <f t="shared" si="3"/>
        <v>0</v>
      </c>
      <c r="AV25">
        <f t="shared" si="3"/>
        <v>0</v>
      </c>
      <c r="AW25">
        <f t="shared" si="3"/>
        <v>0</v>
      </c>
      <c r="AX25">
        <f t="shared" si="4"/>
        <v>0</v>
      </c>
      <c r="AY25">
        <f t="shared" si="4"/>
        <v>0</v>
      </c>
      <c r="AZ25">
        <f t="shared" si="4"/>
        <v>0</v>
      </c>
      <c r="BA25">
        <f t="shared" si="4"/>
        <v>0</v>
      </c>
      <c r="BB25">
        <f t="shared" si="4"/>
        <v>0.10574194914763924</v>
      </c>
      <c r="BC25">
        <f t="shared" si="4"/>
        <v>0</v>
      </c>
      <c r="BD25">
        <f t="shared" si="4"/>
        <v>0</v>
      </c>
      <c r="BE25">
        <f t="shared" si="4"/>
        <v>0</v>
      </c>
      <c r="BF25">
        <f t="shared" si="4"/>
        <v>0</v>
      </c>
      <c r="BG25">
        <f t="shared" si="4"/>
        <v>0</v>
      </c>
      <c r="BH25">
        <f t="shared" si="4"/>
        <v>0.15752480872546037</v>
      </c>
    </row>
    <row r="26" spans="1:60" x14ac:dyDescent="0.3">
      <c r="A26">
        <f t="shared" si="1"/>
        <v>5</v>
      </c>
      <c r="C26">
        <f t="shared" si="2"/>
        <v>0.48089446983227724</v>
      </c>
      <c r="D26">
        <v>8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0</v>
      </c>
      <c r="AE26">
        <v>0</v>
      </c>
      <c r="AF26">
        <v>0</v>
      </c>
      <c r="AG26">
        <f t="shared" ref="AG26:AG27" si="5">E26*E$21</f>
        <v>9.3788130171159501E-2</v>
      </c>
      <c r="AH26">
        <f t="shared" si="3"/>
        <v>0</v>
      </c>
      <c r="AI26">
        <f t="shared" si="3"/>
        <v>0</v>
      </c>
      <c r="AJ26">
        <f t="shared" si="3"/>
        <v>0</v>
      </c>
      <c r="AK26">
        <f t="shared" si="3"/>
        <v>9.3788130171159501E-2</v>
      </c>
      <c r="AL26">
        <f t="shared" si="3"/>
        <v>0</v>
      </c>
      <c r="AM26">
        <f t="shared" si="3"/>
        <v>0</v>
      </c>
      <c r="AN26">
        <f t="shared" si="3"/>
        <v>0</v>
      </c>
      <c r="AO26">
        <f t="shared" si="3"/>
        <v>0</v>
      </c>
      <c r="AP26">
        <f t="shared" si="3"/>
        <v>0</v>
      </c>
      <c r="AQ26">
        <f t="shared" si="3"/>
        <v>0</v>
      </c>
      <c r="AR26">
        <f t="shared" si="3"/>
        <v>0</v>
      </c>
      <c r="AS26">
        <f t="shared" si="3"/>
        <v>0</v>
      </c>
      <c r="AT26">
        <f t="shared" si="3"/>
        <v>0.10574194914763924</v>
      </c>
      <c r="AU26">
        <f t="shared" si="3"/>
        <v>0</v>
      </c>
      <c r="AV26">
        <f t="shared" si="3"/>
        <v>0</v>
      </c>
      <c r="AW26">
        <f t="shared" si="3"/>
        <v>9.3788130171159501E-2</v>
      </c>
      <c r="AX26">
        <f t="shared" si="4"/>
        <v>0</v>
      </c>
      <c r="AY26">
        <f t="shared" si="4"/>
        <v>0</v>
      </c>
      <c r="AZ26">
        <f t="shared" si="4"/>
        <v>0</v>
      </c>
      <c r="BA26">
        <f t="shared" si="4"/>
        <v>0</v>
      </c>
      <c r="BB26">
        <f t="shared" si="4"/>
        <v>0</v>
      </c>
      <c r="BC26">
        <f t="shared" si="4"/>
        <v>0</v>
      </c>
      <c r="BD26">
        <f t="shared" si="4"/>
        <v>0</v>
      </c>
      <c r="BE26">
        <f t="shared" si="4"/>
        <v>9.3788130171159501E-2</v>
      </c>
      <c r="BF26">
        <f t="shared" si="4"/>
        <v>0</v>
      </c>
      <c r="BG26">
        <f t="shared" si="4"/>
        <v>0</v>
      </c>
      <c r="BH26">
        <f t="shared" si="4"/>
        <v>0</v>
      </c>
    </row>
    <row r="27" spans="1:60" x14ac:dyDescent="0.3">
      <c r="A27">
        <f t="shared" si="1"/>
        <v>4</v>
      </c>
      <c r="C27">
        <f>SUM(AG27:BH27)</f>
        <v>0.59374356715310395</v>
      </c>
      <c r="D27">
        <v>13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0</v>
      </c>
      <c r="AG27">
        <f t="shared" si="5"/>
        <v>0</v>
      </c>
      <c r="AH27">
        <f t="shared" si="3"/>
        <v>0</v>
      </c>
      <c r="AI27">
        <f t="shared" si="3"/>
        <v>0</v>
      </c>
      <c r="AJ27">
        <f t="shared" si="3"/>
        <v>0</v>
      </c>
      <c r="AK27">
        <f t="shared" si="3"/>
        <v>0</v>
      </c>
      <c r="AL27">
        <f t="shared" si="3"/>
        <v>0</v>
      </c>
      <c r="AM27">
        <f t="shared" si="3"/>
        <v>0.14843589178827599</v>
      </c>
      <c r="AN27">
        <f t="shared" si="3"/>
        <v>0</v>
      </c>
      <c r="AO27">
        <f t="shared" si="3"/>
        <v>0</v>
      </c>
      <c r="AP27">
        <f t="shared" si="3"/>
        <v>0</v>
      </c>
      <c r="AQ27">
        <f t="shared" si="3"/>
        <v>0</v>
      </c>
      <c r="AR27">
        <f t="shared" si="3"/>
        <v>0</v>
      </c>
      <c r="AS27">
        <f t="shared" si="3"/>
        <v>0</v>
      </c>
      <c r="AT27">
        <f t="shared" si="3"/>
        <v>0</v>
      </c>
      <c r="AU27">
        <f t="shared" si="3"/>
        <v>0.14843589178827599</v>
      </c>
      <c r="AV27">
        <f t="shared" si="3"/>
        <v>0</v>
      </c>
      <c r="AW27">
        <f t="shared" si="3"/>
        <v>0</v>
      </c>
      <c r="AX27">
        <f t="shared" si="4"/>
        <v>0</v>
      </c>
      <c r="AY27">
        <f t="shared" si="4"/>
        <v>0.14843589178827599</v>
      </c>
      <c r="AZ27">
        <f t="shared" si="4"/>
        <v>0</v>
      </c>
      <c r="BA27">
        <f t="shared" si="4"/>
        <v>0</v>
      </c>
      <c r="BB27">
        <f t="shared" si="4"/>
        <v>0</v>
      </c>
      <c r="BC27">
        <f t="shared" si="4"/>
        <v>0</v>
      </c>
      <c r="BD27">
        <f t="shared" si="4"/>
        <v>0</v>
      </c>
      <c r="BE27">
        <f t="shared" si="4"/>
        <v>0</v>
      </c>
      <c r="BF27">
        <f t="shared" si="4"/>
        <v>0</v>
      </c>
      <c r="BG27">
        <f t="shared" si="4"/>
        <v>0.14843589178827599</v>
      </c>
      <c r="BH27">
        <f t="shared" si="4"/>
        <v>0</v>
      </c>
    </row>
    <row r="28" spans="1:60" x14ac:dyDescent="0.3">
      <c r="A28">
        <f t="shared" si="1"/>
        <v>5</v>
      </c>
      <c r="C28">
        <f t="shared" si="2"/>
        <v>0.78762404362730187</v>
      </c>
      <c r="D28">
        <v>16</v>
      </c>
      <c r="E28">
        <v>0</v>
      </c>
      <c r="F28">
        <v>0</v>
      </c>
      <c r="G28">
        <v>0</v>
      </c>
      <c r="H28">
        <v>1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1</v>
      </c>
      <c r="AC28">
        <v>0</v>
      </c>
      <c r="AD28">
        <v>0</v>
      </c>
      <c r="AE28">
        <v>0</v>
      </c>
      <c r="AF28">
        <v>0</v>
      </c>
      <c r="AG28">
        <f>E28*E$21</f>
        <v>0</v>
      </c>
      <c r="AH28">
        <f t="shared" si="3"/>
        <v>0</v>
      </c>
      <c r="AI28">
        <f t="shared" si="3"/>
        <v>0</v>
      </c>
      <c r="AJ28">
        <f>H28*H$21</f>
        <v>0.15752480872546037</v>
      </c>
      <c r="AK28">
        <f t="shared" si="3"/>
        <v>0</v>
      </c>
      <c r="AL28">
        <f t="shared" si="3"/>
        <v>0</v>
      </c>
      <c r="AM28">
        <f t="shared" si="3"/>
        <v>0</v>
      </c>
      <c r="AN28">
        <f t="shared" si="3"/>
        <v>0.15752480872546037</v>
      </c>
      <c r="AO28">
        <f t="shared" si="3"/>
        <v>0</v>
      </c>
      <c r="AP28">
        <f t="shared" si="3"/>
        <v>0</v>
      </c>
      <c r="AQ28">
        <f t="shared" si="3"/>
        <v>0</v>
      </c>
      <c r="AR28">
        <f t="shared" si="3"/>
        <v>0.15752480872546037</v>
      </c>
      <c r="AS28">
        <f t="shared" si="3"/>
        <v>0</v>
      </c>
      <c r="AT28">
        <f t="shared" si="3"/>
        <v>0</v>
      </c>
      <c r="AU28">
        <f t="shared" si="3"/>
        <v>0</v>
      </c>
      <c r="AV28">
        <f t="shared" si="3"/>
        <v>0</v>
      </c>
      <c r="AW28">
        <f t="shared" si="3"/>
        <v>0</v>
      </c>
      <c r="AX28">
        <f t="shared" si="4"/>
        <v>0</v>
      </c>
      <c r="AY28">
        <f t="shared" si="4"/>
        <v>0</v>
      </c>
      <c r="AZ28">
        <f t="shared" si="4"/>
        <v>0.15752480872546037</v>
      </c>
      <c r="BA28">
        <f t="shared" si="4"/>
        <v>0</v>
      </c>
      <c r="BB28">
        <f t="shared" si="4"/>
        <v>0</v>
      </c>
      <c r="BC28">
        <f t="shared" si="4"/>
        <v>0</v>
      </c>
      <c r="BD28">
        <f t="shared" si="4"/>
        <v>0.15752480872546037</v>
      </c>
      <c r="BE28">
        <f t="shared" si="4"/>
        <v>0</v>
      </c>
      <c r="BF28">
        <f t="shared" si="4"/>
        <v>0</v>
      </c>
      <c r="BG28">
        <f t="shared" si="4"/>
        <v>0</v>
      </c>
      <c r="BH28">
        <f t="shared" si="4"/>
        <v>0</v>
      </c>
    </row>
    <row r="32" spans="1:60" x14ac:dyDescent="0.3">
      <c r="A32" t="s">
        <v>196</v>
      </c>
      <c r="E32">
        <f t="shared" ref="E32:E37" si="6">$E$3*G3*E23</f>
        <v>0</v>
      </c>
      <c r="F32">
        <f>$E$5*$G3*G23</f>
        <v>2.1379341492382014</v>
      </c>
      <c r="G32">
        <f t="shared" ref="G32:G37" si="7">$E$5*$G3*G23</f>
        <v>2.1379341492382014</v>
      </c>
      <c r="H32">
        <f t="shared" ref="H32:H37" si="8">$E$6*$G3*H23</f>
        <v>0</v>
      </c>
      <c r="I32">
        <f t="shared" ref="I32:I37" si="9">$E$3*$G3*I23</f>
        <v>0</v>
      </c>
      <c r="J32">
        <f t="shared" ref="J32:J37" si="10">$E$4*$G3*J23</f>
        <v>0</v>
      </c>
      <c r="K32">
        <f t="shared" ref="K32:K37" si="11">$E$5*$G3*K23</f>
        <v>0</v>
      </c>
      <c r="L32">
        <f t="shared" ref="L32:L37" si="12">$E$6*$G3*L23</f>
        <v>0</v>
      </c>
      <c r="M32">
        <f t="shared" ref="M32:M37" si="13">$E$3*$G3*M23</f>
        <v>0</v>
      </c>
      <c r="N32">
        <f t="shared" ref="N32:N37" si="14">$E$4*$G3*N23</f>
        <v>1.4006887524721441</v>
      </c>
      <c r="O32">
        <f t="shared" ref="O32:O37" si="15">$E$5*$G3*O23</f>
        <v>0</v>
      </c>
      <c r="P32">
        <f t="shared" ref="P32:P37" si="16">$E$6*$G3*P23</f>
        <v>0</v>
      </c>
      <c r="Q32">
        <f t="shared" ref="Q32:Q37" si="17">$E$3*$G3*Q23</f>
        <v>0</v>
      </c>
      <c r="R32">
        <f t="shared" ref="R32:R37" si="18">$E$4*$G3*R23</f>
        <v>0</v>
      </c>
      <c r="S32">
        <f t="shared" ref="S32:S37" si="19">$E$5*$G3*S23</f>
        <v>0</v>
      </c>
      <c r="T32">
        <f t="shared" ref="T32:T37" si="20">$E$6*$G3*T23</f>
        <v>2.3453498625431348</v>
      </c>
      <c r="U32">
        <f t="shared" ref="U32:U37" si="21">$E$3*$G3*U23</f>
        <v>0</v>
      </c>
      <c r="V32">
        <f t="shared" ref="V32:V37" si="22">$E$4*$G3*V23</f>
        <v>0</v>
      </c>
      <c r="W32">
        <f t="shared" ref="W32:W37" si="23">$E$5*$G3*W23</f>
        <v>0</v>
      </c>
      <c r="X32">
        <f t="shared" ref="X32:X37" si="24">$E$6*$G3*X23</f>
        <v>0</v>
      </c>
      <c r="Y32">
        <f t="shared" ref="Y32:Y37" si="25">$E$3*$G3*Y23</f>
        <v>0</v>
      </c>
      <c r="Z32">
        <f t="shared" ref="Z32:Z37" si="26">$E$4*$G3*Z23</f>
        <v>0</v>
      </c>
      <c r="AA32">
        <f t="shared" ref="AA32:AA37" si="27">$E$5*$G3*AA23</f>
        <v>2.1379341492382014</v>
      </c>
      <c r="AB32">
        <f t="shared" ref="AB32:AB37" si="28">$E$6*$G3*AB23</f>
        <v>0</v>
      </c>
      <c r="AC32">
        <f t="shared" ref="AC32:AC37" si="29">$E$3*$G3*AC23</f>
        <v>0</v>
      </c>
      <c r="AD32">
        <f t="shared" ref="AD32:AD37" si="30">$E$4*$G3*AD23</f>
        <v>0</v>
      </c>
      <c r="AE32">
        <f t="shared" ref="AE32:AE37" si="31">$E$5*$G3*AE23</f>
        <v>0</v>
      </c>
      <c r="AF32">
        <f t="shared" ref="AF32:AF37" si="32">$E$6*$G3*AF23</f>
        <v>0</v>
      </c>
    </row>
    <row r="33" spans="1:60" x14ac:dyDescent="0.3">
      <c r="A33">
        <f>SUM(E32:AF37)</f>
        <v>69.565794490731463</v>
      </c>
      <c r="E33">
        <f t="shared" si="6"/>
        <v>0</v>
      </c>
      <c r="F33">
        <f>$E$4*$G4*F24</f>
        <v>0</v>
      </c>
      <c r="G33">
        <f t="shared" si="7"/>
        <v>0</v>
      </c>
      <c r="H33">
        <f t="shared" si="8"/>
        <v>0</v>
      </c>
      <c r="I33">
        <f t="shared" si="9"/>
        <v>0</v>
      </c>
      <c r="J33">
        <f t="shared" si="10"/>
        <v>1.6126848879814415</v>
      </c>
      <c r="K33">
        <f t="shared" si="11"/>
        <v>0</v>
      </c>
      <c r="L33">
        <f t="shared" si="12"/>
        <v>0</v>
      </c>
      <c r="M33">
        <f t="shared" si="13"/>
        <v>0</v>
      </c>
      <c r="N33">
        <f t="shared" si="14"/>
        <v>0</v>
      </c>
      <c r="O33">
        <f t="shared" si="15"/>
        <v>2.4615133718256046</v>
      </c>
      <c r="P33">
        <f t="shared" si="16"/>
        <v>0</v>
      </c>
      <c r="Q33">
        <f t="shared" si="17"/>
        <v>0</v>
      </c>
      <c r="R33">
        <f t="shared" si="18"/>
        <v>0</v>
      </c>
      <c r="S33">
        <f t="shared" si="19"/>
        <v>0</v>
      </c>
      <c r="T33">
        <f t="shared" si="20"/>
        <v>0</v>
      </c>
      <c r="U33">
        <f t="shared" si="21"/>
        <v>0</v>
      </c>
      <c r="V33">
        <f t="shared" si="22"/>
        <v>1.6126848879814415</v>
      </c>
      <c r="W33">
        <f t="shared" si="23"/>
        <v>0</v>
      </c>
      <c r="X33">
        <f t="shared" si="24"/>
        <v>0</v>
      </c>
      <c r="Y33">
        <f t="shared" si="25"/>
        <v>1.5035232820715791</v>
      </c>
      <c r="Z33">
        <f t="shared" si="26"/>
        <v>0</v>
      </c>
      <c r="AA33">
        <f t="shared" si="27"/>
        <v>0</v>
      </c>
      <c r="AB33">
        <f t="shared" si="28"/>
        <v>0</v>
      </c>
      <c r="AC33">
        <f t="shared" si="29"/>
        <v>0</v>
      </c>
      <c r="AD33">
        <f t="shared" si="30"/>
        <v>1.6126848879814415</v>
      </c>
      <c r="AE33">
        <f t="shared" si="31"/>
        <v>0</v>
      </c>
      <c r="AF33">
        <f t="shared" si="32"/>
        <v>0</v>
      </c>
    </row>
    <row r="34" spans="1:60" x14ac:dyDescent="0.3">
      <c r="E34">
        <f t="shared" si="6"/>
        <v>0</v>
      </c>
      <c r="F34">
        <f>$E$4*$G5*F25</f>
        <v>1.7716819896134146</v>
      </c>
      <c r="G34">
        <f t="shared" si="7"/>
        <v>0</v>
      </c>
      <c r="H34">
        <f t="shared" si="8"/>
        <v>0</v>
      </c>
      <c r="I34">
        <f t="shared" si="9"/>
        <v>0</v>
      </c>
      <c r="J34">
        <f t="shared" si="10"/>
        <v>0</v>
      </c>
      <c r="K34">
        <f t="shared" si="11"/>
        <v>0</v>
      </c>
      <c r="L34">
        <f t="shared" si="12"/>
        <v>0</v>
      </c>
      <c r="M34">
        <f t="shared" si="13"/>
        <v>1.651757971853284</v>
      </c>
      <c r="N34">
        <f t="shared" si="14"/>
        <v>0</v>
      </c>
      <c r="O34">
        <f t="shared" si="15"/>
        <v>0</v>
      </c>
      <c r="P34">
        <f t="shared" si="16"/>
        <v>0</v>
      </c>
      <c r="Q34">
        <f t="shared" si="17"/>
        <v>1.651757971853284</v>
      </c>
      <c r="R34">
        <f t="shared" si="18"/>
        <v>0</v>
      </c>
      <c r="S34">
        <f t="shared" si="19"/>
        <v>0</v>
      </c>
      <c r="T34">
        <f t="shared" si="20"/>
        <v>0</v>
      </c>
      <c r="U34">
        <f t="shared" si="21"/>
        <v>0</v>
      </c>
      <c r="V34">
        <f t="shared" si="22"/>
        <v>0</v>
      </c>
      <c r="W34">
        <f t="shared" si="23"/>
        <v>0</v>
      </c>
      <c r="X34">
        <f t="shared" si="24"/>
        <v>0</v>
      </c>
      <c r="Y34">
        <f t="shared" si="25"/>
        <v>0</v>
      </c>
      <c r="Z34">
        <f t="shared" si="26"/>
        <v>1.7716819896134146</v>
      </c>
      <c r="AA34">
        <f t="shared" si="27"/>
        <v>0</v>
      </c>
      <c r="AB34">
        <f t="shared" si="28"/>
        <v>0</v>
      </c>
      <c r="AC34">
        <f t="shared" si="29"/>
        <v>0</v>
      </c>
      <c r="AD34">
        <f t="shared" si="30"/>
        <v>0</v>
      </c>
      <c r="AE34">
        <f t="shared" si="31"/>
        <v>0</v>
      </c>
      <c r="AF34">
        <f t="shared" si="32"/>
        <v>2.9665506369464514</v>
      </c>
    </row>
    <row r="35" spans="1:60" x14ac:dyDescent="0.3">
      <c r="E35">
        <f t="shared" si="6"/>
        <v>1.807051456386499</v>
      </c>
      <c r="F35">
        <f>$E$4*$G6*F26</f>
        <v>0</v>
      </c>
      <c r="G35">
        <f t="shared" si="7"/>
        <v>0</v>
      </c>
      <c r="H35">
        <f t="shared" si="8"/>
        <v>0</v>
      </c>
      <c r="I35">
        <f t="shared" si="9"/>
        <v>1.807051456386499</v>
      </c>
      <c r="J35">
        <f t="shared" si="10"/>
        <v>0</v>
      </c>
      <c r="K35">
        <f t="shared" si="11"/>
        <v>0</v>
      </c>
      <c r="L35">
        <f t="shared" si="12"/>
        <v>0</v>
      </c>
      <c r="M35">
        <f t="shared" si="13"/>
        <v>0</v>
      </c>
      <c r="N35">
        <f t="shared" si="14"/>
        <v>0</v>
      </c>
      <c r="O35">
        <f t="shared" si="15"/>
        <v>0</v>
      </c>
      <c r="P35">
        <f t="shared" si="16"/>
        <v>0</v>
      </c>
      <c r="Q35">
        <f t="shared" si="17"/>
        <v>0</v>
      </c>
      <c r="R35">
        <f t="shared" si="18"/>
        <v>1.9382503817992913</v>
      </c>
      <c r="S35">
        <f t="shared" si="19"/>
        <v>0</v>
      </c>
      <c r="T35">
        <f t="shared" si="20"/>
        <v>0</v>
      </c>
      <c r="U35">
        <f t="shared" si="21"/>
        <v>1.807051456386499</v>
      </c>
      <c r="V35">
        <f t="shared" si="22"/>
        <v>0</v>
      </c>
      <c r="W35">
        <f t="shared" si="23"/>
        <v>0</v>
      </c>
      <c r="X35">
        <f t="shared" si="24"/>
        <v>0</v>
      </c>
      <c r="Y35">
        <f t="shared" si="25"/>
        <v>0</v>
      </c>
      <c r="Z35">
        <f t="shared" si="26"/>
        <v>0</v>
      </c>
      <c r="AA35">
        <f t="shared" si="27"/>
        <v>0</v>
      </c>
      <c r="AB35">
        <f t="shared" si="28"/>
        <v>0</v>
      </c>
      <c r="AC35">
        <f t="shared" si="29"/>
        <v>1.807051456386499</v>
      </c>
      <c r="AD35">
        <f t="shared" si="30"/>
        <v>0</v>
      </c>
      <c r="AE35">
        <f t="shared" si="31"/>
        <v>0</v>
      </c>
      <c r="AF35">
        <f t="shared" si="32"/>
        <v>0</v>
      </c>
      <c r="AG35">
        <f>SUM(E23:E28)</f>
        <v>1</v>
      </c>
      <c r="AH35">
        <f t="shared" ref="AH35:BH35" si="33">SUM(F23:F28)</f>
        <v>1</v>
      </c>
      <c r="AI35">
        <f t="shared" si="33"/>
        <v>1</v>
      </c>
      <c r="AJ35">
        <f t="shared" si="33"/>
        <v>1</v>
      </c>
      <c r="AK35">
        <f t="shared" si="33"/>
        <v>1</v>
      </c>
      <c r="AL35">
        <f t="shared" si="33"/>
        <v>1</v>
      </c>
      <c r="AM35">
        <f t="shared" si="33"/>
        <v>1</v>
      </c>
      <c r="AN35">
        <f t="shared" si="33"/>
        <v>1</v>
      </c>
      <c r="AO35">
        <f t="shared" si="33"/>
        <v>1</v>
      </c>
      <c r="AP35">
        <f t="shared" si="33"/>
        <v>1</v>
      </c>
      <c r="AQ35">
        <f t="shared" si="33"/>
        <v>1</v>
      </c>
      <c r="AR35">
        <f t="shared" si="33"/>
        <v>1</v>
      </c>
      <c r="AS35">
        <f t="shared" si="33"/>
        <v>1</v>
      </c>
      <c r="AT35">
        <f t="shared" si="33"/>
        <v>1</v>
      </c>
      <c r="AU35">
        <f t="shared" si="33"/>
        <v>1</v>
      </c>
      <c r="AV35">
        <f t="shared" si="33"/>
        <v>1</v>
      </c>
      <c r="AW35">
        <f t="shared" si="33"/>
        <v>1</v>
      </c>
      <c r="AX35">
        <f t="shared" si="33"/>
        <v>1</v>
      </c>
      <c r="AY35">
        <f t="shared" si="33"/>
        <v>1</v>
      </c>
      <c r="AZ35">
        <f t="shared" si="33"/>
        <v>1</v>
      </c>
      <c r="BA35">
        <f t="shared" si="33"/>
        <v>1</v>
      </c>
      <c r="BB35">
        <f t="shared" si="33"/>
        <v>1</v>
      </c>
      <c r="BC35">
        <f t="shared" si="33"/>
        <v>1</v>
      </c>
      <c r="BD35">
        <f t="shared" si="33"/>
        <v>1</v>
      </c>
      <c r="BE35">
        <f t="shared" si="33"/>
        <v>1</v>
      </c>
      <c r="BF35">
        <f t="shared" si="33"/>
        <v>1</v>
      </c>
      <c r="BG35">
        <f t="shared" si="33"/>
        <v>1</v>
      </c>
      <c r="BH35">
        <f t="shared" si="33"/>
        <v>1</v>
      </c>
    </row>
    <row r="36" spans="1:60" x14ac:dyDescent="0.3">
      <c r="E36">
        <f t="shared" si="6"/>
        <v>0</v>
      </c>
      <c r="F36">
        <f>$E$4*$G7*F27</f>
        <v>0</v>
      </c>
      <c r="G36">
        <f t="shared" si="7"/>
        <v>0</v>
      </c>
      <c r="H36">
        <f t="shared" si="8"/>
        <v>0</v>
      </c>
      <c r="I36">
        <f t="shared" si="9"/>
        <v>0</v>
      </c>
      <c r="J36">
        <f t="shared" si="10"/>
        <v>0</v>
      </c>
      <c r="K36">
        <f t="shared" si="11"/>
        <v>3.2467380277088571</v>
      </c>
      <c r="L36">
        <f t="shared" si="12"/>
        <v>0</v>
      </c>
      <c r="M36">
        <f t="shared" si="13"/>
        <v>0</v>
      </c>
      <c r="N36">
        <f t="shared" si="14"/>
        <v>0</v>
      </c>
      <c r="O36">
        <f t="shared" si="15"/>
        <v>0</v>
      </c>
      <c r="P36">
        <f t="shared" si="16"/>
        <v>0</v>
      </c>
      <c r="Q36">
        <f t="shared" si="17"/>
        <v>0</v>
      </c>
      <c r="R36">
        <f t="shared" si="18"/>
        <v>0</v>
      </c>
      <c r="S36">
        <f t="shared" si="19"/>
        <v>3.2467380277088571</v>
      </c>
      <c r="T36">
        <f t="shared" si="20"/>
        <v>0</v>
      </c>
      <c r="U36">
        <f t="shared" si="21"/>
        <v>0</v>
      </c>
      <c r="V36">
        <f t="shared" si="22"/>
        <v>0</v>
      </c>
      <c r="W36">
        <f t="shared" si="23"/>
        <v>3.2467380277088571</v>
      </c>
      <c r="X36">
        <f t="shared" si="24"/>
        <v>0</v>
      </c>
      <c r="Y36">
        <f t="shared" si="25"/>
        <v>0</v>
      </c>
      <c r="Z36">
        <f t="shared" si="26"/>
        <v>0</v>
      </c>
      <c r="AA36">
        <f t="shared" si="27"/>
        <v>0</v>
      </c>
      <c r="AB36">
        <f t="shared" si="28"/>
        <v>0</v>
      </c>
      <c r="AC36">
        <f t="shared" si="29"/>
        <v>0</v>
      </c>
      <c r="AD36">
        <f t="shared" si="30"/>
        <v>0</v>
      </c>
      <c r="AE36">
        <f t="shared" si="31"/>
        <v>3.2467380277088571</v>
      </c>
      <c r="AF36">
        <f t="shared" si="32"/>
        <v>0</v>
      </c>
    </row>
    <row r="37" spans="1:60" x14ac:dyDescent="0.3">
      <c r="E37">
        <f t="shared" si="6"/>
        <v>0</v>
      </c>
      <c r="F37">
        <f>$E$4*$G8*F28</f>
        <v>0</v>
      </c>
      <c r="G37">
        <f t="shared" si="7"/>
        <v>0</v>
      </c>
      <c r="H37">
        <f t="shared" si="8"/>
        <v>3.7272046464199002</v>
      </c>
      <c r="I37">
        <f t="shared" si="9"/>
        <v>0</v>
      </c>
      <c r="J37">
        <f t="shared" si="10"/>
        <v>0</v>
      </c>
      <c r="K37">
        <f t="shared" si="11"/>
        <v>0</v>
      </c>
      <c r="L37">
        <f t="shared" si="12"/>
        <v>3.7272046464199002</v>
      </c>
      <c r="M37">
        <f t="shared" si="13"/>
        <v>0</v>
      </c>
      <c r="N37">
        <f t="shared" si="14"/>
        <v>0</v>
      </c>
      <c r="O37">
        <f t="shared" si="15"/>
        <v>0</v>
      </c>
      <c r="P37">
        <f t="shared" si="16"/>
        <v>3.7272046464199002</v>
      </c>
      <c r="Q37">
        <f t="shared" si="17"/>
        <v>0</v>
      </c>
      <c r="R37">
        <f t="shared" si="18"/>
        <v>0</v>
      </c>
      <c r="S37">
        <f t="shared" si="19"/>
        <v>0</v>
      </c>
      <c r="T37">
        <f t="shared" si="20"/>
        <v>0</v>
      </c>
      <c r="U37">
        <f t="shared" si="21"/>
        <v>0</v>
      </c>
      <c r="V37">
        <f t="shared" si="22"/>
        <v>0</v>
      </c>
      <c r="W37">
        <f t="shared" si="23"/>
        <v>0</v>
      </c>
      <c r="X37">
        <f t="shared" si="24"/>
        <v>3.7272046464199002</v>
      </c>
      <c r="Y37">
        <f t="shared" si="25"/>
        <v>0</v>
      </c>
      <c r="Z37">
        <f t="shared" si="26"/>
        <v>0</v>
      </c>
      <c r="AA37">
        <f t="shared" si="27"/>
        <v>0</v>
      </c>
      <c r="AB37">
        <f t="shared" si="28"/>
        <v>3.7272046464199002</v>
      </c>
      <c r="AC37">
        <f t="shared" si="29"/>
        <v>0</v>
      </c>
      <c r="AD37">
        <f t="shared" si="30"/>
        <v>0</v>
      </c>
      <c r="AE37">
        <f t="shared" si="31"/>
        <v>0</v>
      </c>
      <c r="AF37">
        <f t="shared" si="32"/>
        <v>0</v>
      </c>
    </row>
  </sheetData>
  <mergeCells count="1">
    <mergeCell ref="B22:C2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5BB5F2-3391-49AF-85F4-C112B45A3E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dev</vt:lpstr>
      <vt:lpstr>database</vt:lpstr>
      <vt:lpstr>userScreen</vt:lpstr>
      <vt:lpstr>GENEL</vt:lpstr>
      <vt:lpstr>SUBE</vt:lpstr>
      <vt:lpstr>TEMSILCI</vt:lpstr>
      <vt:lpstr>Start</vt:lpstr>
      <vt:lpstr>Sayfa1</vt:lpstr>
      <vt:lpstr>SaleList</vt:lpstr>
      <vt:lpstr>UserName</vt:lpstr>
      <vt:lpstr>UserTable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Fatih YILDIRIM</dc:creator>
  <cp:lastModifiedBy>Fatih YILDIRIM</cp:lastModifiedBy>
  <dcterms:created xsi:type="dcterms:W3CDTF">2015-06-05T18:17:20Z</dcterms:created>
  <dcterms:modified xsi:type="dcterms:W3CDTF">2024-07-05T01:19:08Z</dcterms:modified>
</cp:coreProperties>
</file>